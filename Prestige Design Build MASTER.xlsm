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dbeck\Visual Sound Dropbox\Dan Beck\All Files\Work\Software Building\Excel\RC Fannin\"/>
    </mc:Choice>
  </mc:AlternateContent>
  <xr:revisionPtr revIDLastSave="0" documentId="13_ncr:1_{E8DCC52C-4339-4983-A34F-496956D052FE}" xr6:coauthVersionLast="45" xr6:coauthVersionMax="45" xr10:uidLastSave="{00000000-0000-0000-0000-000000000000}"/>
  <bookViews>
    <workbookView xWindow="-120" yWindow="-120" windowWidth="29040" windowHeight="15840" activeTab="3" xr2:uid="{00000000-000D-0000-FFFF-FFFF00000000}"/>
  </bookViews>
  <sheets>
    <sheet name="RC Checklist" sheetId="9" r:id="rId1"/>
    <sheet name="Generated Quote" sheetId="7" r:id="rId2"/>
    <sheet name="Breakdown Report" sheetId="10" state="hidden" r:id="rId3"/>
    <sheet name="Fixed Cost Items" sheetId="6" r:id="rId4"/>
    <sheet name="Driving Code" sheetId="4" state="hidden" r:id="rId5"/>
    <sheet name="Client Info" sheetId="3" state="hidden" r:id="rId6"/>
    <sheet name="Drop Down Selection" sheetId="5" state="hidden" r:id="rId7"/>
    <sheet name="Time" sheetId="11" r:id="rId8"/>
  </sheets>
  <definedNames>
    <definedName name="clientsearch" localSheetId="5">'Client Info'!$S$2:INDEX(ClientInfo[searchable list], COUNTIF(ClientInfo[searchable list],"?*"))</definedName>
    <definedName name="_xlnm.Print_Area" localSheetId="1">'Generated Quote'!$A$1:$J$71</definedName>
    <definedName name="_xlnm.Print_Area" localSheetId="0">'RC Checklist'!$A$1:$K$71</definedName>
    <definedName name="_xlnm.Print_Titles" localSheetId="0">'RC Checklist'!$7:$7</definedName>
    <definedName name="Slicer_Category">#N/A</definedName>
    <definedName name="test">'Driving Code'!#REF!:INDEX(ClientInfo[searchable list], COUNTIF(ClientInfo[searchable list],0))</definedName>
  </definedNames>
  <calcPr calcId="191029"/>
  <fileRecoveryPr repairLoad="1"/>
  <extLst>
    <ext xmlns:x14="http://schemas.microsoft.com/office/spreadsheetml/2009/9/main" uri="{79F54976-1DA5-4618-B147-4CDE4B953A38}">
      <x14:workbookPr defaultImageDpi="32767"/>
    </ext>
    <ext xmlns:x15="http://schemas.microsoft.com/office/spreadsheetml/2010/11/main" uri="{46BE6895-7355-4a93-B00E-2C351335B9C9}">
      <x15:slicerCaches xmlns:x14="http://schemas.microsoft.com/office/spreadsheetml/2009/9/main">
        <x14:slicerCache r:id="rId9"/>
      </x15:slicerCache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 i="6" l="1"/>
  <c r="A13" i="7" l="1"/>
  <c r="F94" i="9"/>
  <c r="F95" i="9"/>
  <c r="F96" i="9"/>
  <c r="F97" i="9"/>
  <c r="F98" i="9"/>
  <c r="F99" i="9"/>
  <c r="F100" i="9"/>
  <c r="K4" i="9"/>
  <c r="G3" i="9"/>
  <c r="I3" i="6" l="1"/>
  <c r="I4" i="6"/>
  <c r="I5" i="6"/>
  <c r="I6" i="6"/>
  <c r="I7" i="6"/>
  <c r="I8" i="6"/>
  <c r="I9" i="6"/>
  <c r="I10" i="6"/>
  <c r="I11" i="6"/>
  <c r="I12" i="6"/>
  <c r="I13" i="6"/>
  <c r="I14" i="6"/>
  <c r="I15" i="6"/>
  <c r="I16" i="6"/>
  <c r="I17" i="6"/>
  <c r="I18" i="6"/>
  <c r="I19" i="6"/>
  <c r="J19" i="6" s="1"/>
  <c r="I20" i="6"/>
  <c r="I21" i="6"/>
  <c r="I22" i="6"/>
  <c r="I23" i="6"/>
  <c r="I24" i="6"/>
  <c r="I25" i="6"/>
  <c r="I26" i="6"/>
  <c r="I27" i="6"/>
  <c r="I28" i="6"/>
  <c r="I29" i="6"/>
  <c r="J29" i="6" s="1"/>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J81" i="6" s="1"/>
  <c r="I82" i="6"/>
  <c r="I83" i="6"/>
  <c r="I84" i="6"/>
  <c r="I85" i="6"/>
  <c r="I86" i="6"/>
  <c r="I87" i="6"/>
  <c r="I88" i="6"/>
  <c r="L2" i="6"/>
  <c r="M2" i="6" s="1"/>
  <c r="N2" i="6" s="1"/>
  <c r="F3" i="6"/>
  <c r="F4" i="6"/>
  <c r="F5" i="6"/>
  <c r="F6" i="6"/>
  <c r="F7" i="6"/>
  <c r="F8" i="6"/>
  <c r="F9" i="6"/>
  <c r="F10" i="6"/>
  <c r="F11" i="6"/>
  <c r="F12" i="6"/>
  <c r="F13" i="6"/>
  <c r="F14" i="6"/>
  <c r="F15" i="6"/>
  <c r="F16" i="6"/>
  <c r="F17" i="6"/>
  <c r="F18" i="6"/>
  <c r="F19" i="6"/>
  <c r="G19" i="6" s="1"/>
  <c r="F20" i="6"/>
  <c r="F21" i="6"/>
  <c r="F22" i="6"/>
  <c r="F23" i="6"/>
  <c r="F24" i="6"/>
  <c r="F25" i="6"/>
  <c r="F26" i="6"/>
  <c r="F27" i="6"/>
  <c r="F28" i="6"/>
  <c r="F29" i="6"/>
  <c r="G29" i="6" s="1"/>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G81" i="6" s="1"/>
  <c r="F82" i="6"/>
  <c r="F83" i="6"/>
  <c r="F84" i="6"/>
  <c r="F85" i="6"/>
  <c r="F86" i="6"/>
  <c r="F87" i="6"/>
  <c r="F88" i="6"/>
  <c r="F2" i="6"/>
  <c r="G76" i="6" l="1"/>
  <c r="G88" i="6"/>
  <c r="G80" i="6"/>
  <c r="G72" i="6"/>
  <c r="G64" i="6"/>
  <c r="G60" i="6"/>
  <c r="G52" i="6"/>
  <c r="G44" i="6"/>
  <c r="G40" i="6"/>
  <c r="G36" i="6"/>
  <c r="G32" i="6"/>
  <c r="G28" i="6"/>
  <c r="G24" i="6"/>
  <c r="G20" i="6"/>
  <c r="G16" i="6"/>
  <c r="G12" i="6"/>
  <c r="G8" i="6"/>
  <c r="G56" i="6"/>
  <c r="G84" i="6"/>
  <c r="G68" i="6"/>
  <c r="G48" i="6"/>
  <c r="G83" i="6"/>
  <c r="G75" i="6"/>
  <c r="G67" i="6"/>
  <c r="G59" i="6"/>
  <c r="G47" i="6"/>
  <c r="G35" i="6"/>
  <c r="G82" i="6"/>
  <c r="G74" i="6"/>
  <c r="G66" i="6"/>
  <c r="G54" i="6"/>
  <c r="G46" i="6"/>
  <c r="G22" i="6"/>
  <c r="G87" i="6"/>
  <c r="G79" i="6"/>
  <c r="G71" i="6"/>
  <c r="G63" i="6"/>
  <c r="G55" i="6"/>
  <c r="G51" i="6"/>
  <c r="G43" i="6"/>
  <c r="G39" i="6"/>
  <c r="G31" i="6"/>
  <c r="G27" i="6"/>
  <c r="G23" i="6"/>
  <c r="G15" i="6"/>
  <c r="G11" i="6"/>
  <c r="G86" i="6"/>
  <c r="G78" i="6"/>
  <c r="G70" i="6"/>
  <c r="G62" i="6"/>
  <c r="G58" i="6"/>
  <c r="G50" i="6"/>
  <c r="G42" i="6"/>
  <c r="G38" i="6"/>
  <c r="G34" i="6"/>
  <c r="G30" i="6"/>
  <c r="G26" i="6"/>
  <c r="G18" i="6"/>
  <c r="G14" i="6"/>
  <c r="G10" i="6"/>
  <c r="G85" i="6"/>
  <c r="G77" i="6"/>
  <c r="G73" i="6"/>
  <c r="G69" i="6"/>
  <c r="G65" i="6"/>
  <c r="G61" i="6"/>
  <c r="G57" i="6"/>
  <c r="G53" i="6"/>
  <c r="G49" i="6"/>
  <c r="G45" i="6"/>
  <c r="G41" i="6"/>
  <c r="G37" i="6"/>
  <c r="G33" i="6"/>
  <c r="G25" i="6"/>
  <c r="G21" i="6"/>
  <c r="G17" i="6"/>
  <c r="G13" i="6"/>
  <c r="G9" i="6"/>
  <c r="G4" i="6"/>
  <c r="G2" i="6"/>
  <c r="G7" i="6"/>
  <c r="G3" i="6"/>
  <c r="G6" i="6"/>
  <c r="G5" i="6"/>
  <c r="B19" i="11"/>
  <c r="CQ2" i="6" l="1"/>
  <c r="CK2" i="6"/>
  <c r="CN2" i="6"/>
  <c r="CH2" i="6"/>
  <c r="CB2" i="6"/>
  <c r="CE2" i="6"/>
  <c r="BV2" i="6"/>
  <c r="BY2" i="6"/>
  <c r="BP2" i="6"/>
  <c r="BS2" i="6"/>
  <c r="BJ2" i="6"/>
  <c r="BM2" i="6"/>
  <c r="BD2" i="6"/>
  <c r="BG2" i="6"/>
  <c r="AX2" i="6"/>
  <c r="BA2" i="6"/>
  <c r="AR2" i="6"/>
  <c r="AU2" i="6"/>
  <c r="AL2" i="6"/>
  <c r="AO2" i="6"/>
  <c r="AF2" i="6"/>
  <c r="AI2" i="6"/>
  <c r="Z2" i="6"/>
  <c r="AC2" i="6"/>
  <c r="H2" i="6"/>
  <c r="W2" i="6"/>
  <c r="Q2" i="6"/>
  <c r="T2" i="6"/>
  <c r="R2" i="6"/>
  <c r="S2" i="6" s="1"/>
  <c r="X2" i="6" s="1"/>
  <c r="Y2" i="6" s="1"/>
  <c r="AD2" i="6" s="1"/>
  <c r="AE2" i="6" s="1"/>
  <c r="AJ2" i="6" s="1"/>
  <c r="AK2" i="6" s="1"/>
  <c r="AP2" i="6" s="1"/>
  <c r="AQ2" i="6" s="1"/>
  <c r="AV2" i="6" s="1"/>
  <c r="AW2" i="6" s="1"/>
  <c r="BB2" i="6" s="1"/>
  <c r="BC2" i="6" s="1"/>
  <c r="BH2" i="6" s="1"/>
  <c r="BI2" i="6" s="1"/>
  <c r="BN2" i="6" s="1"/>
  <c r="BO2" i="6" s="1"/>
  <c r="BT2" i="6" s="1"/>
  <c r="BU2" i="6" s="1"/>
  <c r="BZ2" i="6" s="1"/>
  <c r="CA2" i="6" s="1"/>
  <c r="CF2" i="6" s="1"/>
  <c r="CG2" i="6" s="1"/>
  <c r="CL2" i="6" s="1"/>
  <c r="CM2" i="6" s="1"/>
  <c r="H4" i="6"/>
  <c r="H8" i="6"/>
  <c r="H12" i="6"/>
  <c r="H16" i="6"/>
  <c r="H20" i="6"/>
  <c r="H24" i="6"/>
  <c r="H28" i="6"/>
  <c r="H32" i="6"/>
  <c r="H36" i="6"/>
  <c r="H40" i="6"/>
  <c r="H44" i="6"/>
  <c r="H48" i="6"/>
  <c r="H52" i="6"/>
  <c r="H56" i="6"/>
  <c r="H60" i="6"/>
  <c r="H64" i="6"/>
  <c r="H68" i="6"/>
  <c r="H72" i="6"/>
  <c r="H76" i="6"/>
  <c r="H5" i="6"/>
  <c r="H9" i="6"/>
  <c r="H13" i="6"/>
  <c r="H17" i="6"/>
  <c r="H21" i="6"/>
  <c r="H25" i="6"/>
  <c r="H29" i="6"/>
  <c r="H33" i="6"/>
  <c r="H37" i="6"/>
  <c r="H41" i="6"/>
  <c r="H45" i="6"/>
  <c r="H49" i="6"/>
  <c r="H53" i="6"/>
  <c r="H57" i="6"/>
  <c r="H61" i="6"/>
  <c r="H65" i="6"/>
  <c r="H69" i="6"/>
  <c r="H73" i="6"/>
  <c r="H77" i="6"/>
  <c r="H81" i="6"/>
  <c r="H85" i="6"/>
  <c r="H6" i="6"/>
  <c r="H10" i="6"/>
  <c r="H14" i="6"/>
  <c r="H18" i="6"/>
  <c r="H22" i="6"/>
  <c r="H26" i="6"/>
  <c r="H30" i="6"/>
  <c r="H34" i="6"/>
  <c r="H38" i="6"/>
  <c r="H42" i="6"/>
  <c r="H46" i="6"/>
  <c r="H50" i="6"/>
  <c r="H54" i="6"/>
  <c r="H58" i="6"/>
  <c r="H62" i="6"/>
  <c r="H66" i="6"/>
  <c r="H70" i="6"/>
  <c r="H74" i="6"/>
  <c r="H78" i="6"/>
  <c r="H82" i="6"/>
  <c r="H86" i="6"/>
  <c r="H3" i="6"/>
  <c r="H7" i="6"/>
  <c r="H11" i="6"/>
  <c r="H15" i="6"/>
  <c r="H19" i="6"/>
  <c r="H23" i="6"/>
  <c r="H27" i="6"/>
  <c r="H31" i="6"/>
  <c r="H35" i="6"/>
  <c r="H39" i="6"/>
  <c r="H43" i="6"/>
  <c r="H47" i="6"/>
  <c r="H51" i="6"/>
  <c r="H55" i="6"/>
  <c r="H59" i="6"/>
  <c r="H63" i="6"/>
  <c r="H67" i="6"/>
  <c r="H80" i="6"/>
  <c r="H88" i="6"/>
  <c r="H79" i="6"/>
  <c r="H71" i="6"/>
  <c r="H83" i="6"/>
  <c r="H87" i="6"/>
  <c r="H75" i="6"/>
  <c r="H84" i="6"/>
  <c r="O1199" i="3"/>
  <c r="O1200" i="3"/>
  <c r="O1201" i="3"/>
  <c r="A1201" i="3"/>
  <c r="Q1201" i="3"/>
  <c r="A1200" i="3" l="1"/>
  <c r="Q1200" i="3" s="1"/>
  <c r="A1199" i="3"/>
  <c r="Q1199" i="3" s="1"/>
  <c r="A1198" i="3" l="1"/>
  <c r="Q1198" i="3" s="1"/>
  <c r="R1198" i="3" s="1"/>
  <c r="I4" i="10"/>
  <c r="I5" i="10"/>
  <c r="M5" i="10" s="1"/>
  <c r="I6" i="10"/>
  <c r="I7" i="10"/>
  <c r="M7" i="10" s="1"/>
  <c r="I8" i="10"/>
  <c r="I9" i="10"/>
  <c r="I10" i="10"/>
  <c r="I11" i="10"/>
  <c r="M11" i="10" s="1"/>
  <c r="I12" i="10"/>
  <c r="K12" i="10" s="1"/>
  <c r="I13" i="10"/>
  <c r="K13" i="10" s="1"/>
  <c r="I14" i="10"/>
  <c r="M14" i="10" s="1"/>
  <c r="I15" i="10"/>
  <c r="M15" i="10" s="1"/>
  <c r="I16" i="10"/>
  <c r="I17" i="10"/>
  <c r="I18" i="10"/>
  <c r="I19" i="10"/>
  <c r="M19" i="10" s="1"/>
  <c r="I20" i="10"/>
  <c r="I21" i="10"/>
  <c r="I22" i="10"/>
  <c r="M22" i="10" s="1"/>
  <c r="I23" i="10"/>
  <c r="M23" i="10" s="1"/>
  <c r="I24" i="10"/>
  <c r="K24" i="10" s="1"/>
  <c r="I25" i="10"/>
  <c r="M25" i="10" s="1"/>
  <c r="I26" i="10"/>
  <c r="I27" i="10"/>
  <c r="M27" i="10" s="1"/>
  <c r="I28" i="10"/>
  <c r="M28" i="10" s="1"/>
  <c r="I29" i="10"/>
  <c r="I30" i="10"/>
  <c r="M30" i="10" s="1"/>
  <c r="I31" i="10"/>
  <c r="M31" i="10" s="1"/>
  <c r="I32" i="10"/>
  <c r="M32" i="10" s="1"/>
  <c r="I33" i="10"/>
  <c r="M33" i="10" s="1"/>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B12" i="10"/>
  <c r="J8" i="7"/>
  <c r="O16" i="10" l="1"/>
  <c r="N28" i="10"/>
  <c r="L24" i="10"/>
  <c r="O8" i="10"/>
  <c r="N32" i="10"/>
  <c r="O20" i="10"/>
  <c r="L12" i="10"/>
  <c r="N22" i="10"/>
  <c r="O10" i="10"/>
  <c r="O6" i="10"/>
  <c r="N30" i="10"/>
  <c r="N14" i="10"/>
  <c r="O29" i="10"/>
  <c r="O21" i="10"/>
  <c r="O17" i="10"/>
  <c r="L13" i="10"/>
  <c r="V21" i="10"/>
  <c r="V13" i="10"/>
  <c r="V9" i="10"/>
  <c r="O9" i="10"/>
  <c r="N5" i="10"/>
  <c r="V33" i="10"/>
  <c r="V25" i="10"/>
  <c r="V17" i="10"/>
  <c r="V5" i="10"/>
  <c r="O4" i="10"/>
  <c r="M9" i="10"/>
  <c r="N9" i="10" s="1"/>
  <c r="K17" i="10"/>
  <c r="L17" i="10" s="1"/>
  <c r="M21" i="10"/>
  <c r="N21" i="10" s="1"/>
  <c r="O5" i="10"/>
  <c r="M13" i="10"/>
  <c r="N13" i="10" s="1"/>
  <c r="K21" i="10"/>
  <c r="L21" i="10" s="1"/>
  <c r="O13" i="10"/>
  <c r="M29" i="10"/>
  <c r="N29" i="10" s="1"/>
  <c r="V30" i="10"/>
  <c r="V11" i="10"/>
  <c r="V7" i="10"/>
  <c r="K5" i="10"/>
  <c r="L5" i="10" s="1"/>
  <c r="K10" i="10"/>
  <c r="L10" i="10" s="1"/>
  <c r="K16" i="10"/>
  <c r="L16" i="10" s="1"/>
  <c r="M24" i="10"/>
  <c r="N24" i="10" s="1"/>
  <c r="V32" i="10"/>
  <c r="V28" i="10"/>
  <c r="V24" i="10"/>
  <c r="V20" i="10"/>
  <c r="V16" i="10"/>
  <c r="V12" i="10"/>
  <c r="V8" i="10"/>
  <c r="V4" i="10"/>
  <c r="K25" i="10"/>
  <c r="L25" i="10" s="1"/>
  <c r="K20" i="10"/>
  <c r="L20" i="10" s="1"/>
  <c r="O24" i="10"/>
  <c r="K32" i="10"/>
  <c r="L32" i="10" s="1"/>
  <c r="V26" i="10"/>
  <c r="V22" i="10"/>
  <c r="V18" i="10"/>
  <c r="V14" i="10"/>
  <c r="V10" i="10"/>
  <c r="V6" i="10"/>
  <c r="K33" i="10"/>
  <c r="L33" i="10" s="1"/>
  <c r="V29" i="10"/>
  <c r="K28" i="10"/>
  <c r="L28" i="10" s="1"/>
  <c r="M16" i="10"/>
  <c r="N16" i="10" s="1"/>
  <c r="M20" i="10"/>
  <c r="N20" i="10" s="1"/>
  <c r="O25" i="10"/>
  <c r="O28" i="10"/>
  <c r="O32" i="10"/>
  <c r="K9" i="10"/>
  <c r="L9" i="10" s="1"/>
  <c r="N11" i="10"/>
  <c r="M17" i="10"/>
  <c r="N17" i="10" s="1"/>
  <c r="K29" i="10"/>
  <c r="L29" i="10" s="1"/>
  <c r="M10" i="10"/>
  <c r="N10" i="10" s="1"/>
  <c r="K6" i="10"/>
  <c r="L6" i="10" s="1"/>
  <c r="V31" i="10"/>
  <c r="V27" i="10"/>
  <c r="V23" i="10"/>
  <c r="V19" i="10"/>
  <c r="V15" i="10"/>
  <c r="N7" i="10"/>
  <c r="N31" i="10"/>
  <c r="N27" i="10"/>
  <c r="N23" i="10"/>
  <c r="N19" i="10"/>
  <c r="M6" i="10"/>
  <c r="N6" i="10" s="1"/>
  <c r="K4" i="10"/>
  <c r="L4" i="10" s="1"/>
  <c r="M4" i="10"/>
  <c r="N4" i="10" s="1"/>
  <c r="O33" i="10"/>
  <c r="O18" i="10"/>
  <c r="K18" i="10"/>
  <c r="L18" i="10" s="1"/>
  <c r="O26" i="10"/>
  <c r="K26" i="10"/>
  <c r="L26" i="10" s="1"/>
  <c r="O7" i="10"/>
  <c r="K7" i="10"/>
  <c r="L7" i="10" s="1"/>
  <c r="O19" i="10"/>
  <c r="K19" i="10"/>
  <c r="L19" i="10" s="1"/>
  <c r="O27" i="10"/>
  <c r="K27" i="10"/>
  <c r="L27" i="10" s="1"/>
  <c r="K8" i="10"/>
  <c r="L8" i="10" s="1"/>
  <c r="O11" i="10"/>
  <c r="K11" i="10"/>
  <c r="L11" i="10" s="1"/>
  <c r="O12" i="10"/>
  <c r="K14" i="10"/>
  <c r="L14" i="10" s="1"/>
  <c r="N15" i="10"/>
  <c r="M18" i="10"/>
  <c r="N18" i="10" s="1"/>
  <c r="O22" i="10"/>
  <c r="K22" i="10"/>
  <c r="L22" i="10" s="1"/>
  <c r="N25" i="10"/>
  <c r="M26" i="10"/>
  <c r="N26" i="10" s="1"/>
  <c r="O30" i="10"/>
  <c r="K30" i="10"/>
  <c r="L30" i="10" s="1"/>
  <c r="N33" i="10"/>
  <c r="M8" i="10"/>
  <c r="N8" i="10" s="1"/>
  <c r="M12" i="10"/>
  <c r="N12" i="10" s="1"/>
  <c r="O14" i="10"/>
  <c r="O15" i="10"/>
  <c r="K15" i="10"/>
  <c r="L15" i="10" s="1"/>
  <c r="O23" i="10"/>
  <c r="K23" i="10"/>
  <c r="L23" i="10" s="1"/>
  <c r="O31" i="10"/>
  <c r="K31" i="10"/>
  <c r="L31" i="10" s="1"/>
  <c r="B6" i="10" l="1"/>
  <c r="B4" i="10"/>
  <c r="B9" i="4"/>
  <c r="P6" i="10" l="1"/>
  <c r="Q6" i="10" s="1"/>
  <c r="P10" i="10"/>
  <c r="Q10" i="10" s="1"/>
  <c r="P14" i="10"/>
  <c r="Q14" i="10" s="1"/>
  <c r="P18" i="10"/>
  <c r="Q18" i="10" s="1"/>
  <c r="P22" i="10"/>
  <c r="Q22" i="10" s="1"/>
  <c r="P26" i="10"/>
  <c r="Q26" i="10" s="1"/>
  <c r="P30" i="10"/>
  <c r="Q30" i="10" s="1"/>
  <c r="P7" i="10"/>
  <c r="Q7" i="10" s="1"/>
  <c r="P11" i="10"/>
  <c r="Q11" i="10" s="1"/>
  <c r="P15" i="10"/>
  <c r="Q15" i="10" s="1"/>
  <c r="P19" i="10"/>
  <c r="Q19" i="10" s="1"/>
  <c r="P23" i="10"/>
  <c r="Q23" i="10" s="1"/>
  <c r="P27" i="10"/>
  <c r="Q27" i="10" s="1"/>
  <c r="P31" i="10"/>
  <c r="Q31" i="10" s="1"/>
  <c r="P4" i="10"/>
  <c r="Q4" i="10" s="1"/>
  <c r="P8" i="10"/>
  <c r="Q8" i="10" s="1"/>
  <c r="P12" i="10"/>
  <c r="Q12" i="10" s="1"/>
  <c r="P16" i="10"/>
  <c r="Q16" i="10" s="1"/>
  <c r="P20" i="10"/>
  <c r="Q20" i="10" s="1"/>
  <c r="P24" i="10"/>
  <c r="Q24" i="10" s="1"/>
  <c r="P28" i="10"/>
  <c r="Q28" i="10" s="1"/>
  <c r="P32" i="10"/>
  <c r="Q32" i="10" s="1"/>
  <c r="P5" i="10"/>
  <c r="Q5" i="10" s="1"/>
  <c r="P9" i="10"/>
  <c r="Q9" i="10" s="1"/>
  <c r="P13" i="10"/>
  <c r="Q13" i="10" s="1"/>
  <c r="P17" i="10"/>
  <c r="Q17" i="10" s="1"/>
  <c r="P21" i="10"/>
  <c r="Q21" i="10" s="1"/>
  <c r="P25" i="10"/>
  <c r="Q25" i="10" s="1"/>
  <c r="P29" i="10"/>
  <c r="Q29" i="10" s="1"/>
  <c r="P33" i="10"/>
  <c r="Q33" i="10" s="1"/>
  <c r="B8" i="7" l="1"/>
  <c r="A648" i="3" l="1"/>
  <c r="A1197" i="3"/>
  <c r="A1196" i="3"/>
  <c r="A1193" i="3"/>
  <c r="A1192" i="3"/>
  <c r="A1191" i="3"/>
  <c r="A1190" i="3"/>
  <c r="A1189" i="3"/>
  <c r="A1188" i="3"/>
  <c r="A1187" i="3"/>
  <c r="A1186" i="3"/>
  <c r="A1185" i="3"/>
  <c r="A1184" i="3"/>
  <c r="A1183" i="3"/>
  <c r="A1182" i="3"/>
  <c r="A1181" i="3"/>
  <c r="A1180" i="3"/>
  <c r="A1179" i="3"/>
  <c r="A1178" i="3"/>
  <c r="A1177" i="3"/>
  <c r="A1176" i="3"/>
  <c r="A1175" i="3"/>
  <c r="A1174" i="3"/>
  <c r="A1172" i="3"/>
  <c r="A1171" i="3"/>
  <c r="A1170" i="3"/>
  <c r="A1169" i="3"/>
  <c r="A1167" i="3"/>
  <c r="A1165" i="3"/>
  <c r="A1163" i="3"/>
  <c r="A1162" i="3"/>
  <c r="A1161" i="3"/>
  <c r="A1160" i="3"/>
  <c r="A1159" i="3"/>
  <c r="A1157" i="3"/>
  <c r="A1156" i="3"/>
  <c r="A1155" i="3"/>
  <c r="A1154" i="3"/>
  <c r="A1153" i="3"/>
  <c r="A1152" i="3"/>
  <c r="A1151" i="3"/>
  <c r="A1150" i="3"/>
  <c r="A1149" i="3"/>
  <c r="A1148" i="3"/>
  <c r="A1147" i="3"/>
  <c r="A1146" i="3"/>
  <c r="A1145" i="3"/>
  <c r="A1144" i="3"/>
  <c r="A1143" i="3"/>
  <c r="A1142" i="3"/>
  <c r="A1141" i="3"/>
  <c r="A1140" i="3"/>
  <c r="A1139" i="3"/>
  <c r="A1138" i="3"/>
  <c r="A1137" i="3"/>
  <c r="A1136" i="3"/>
  <c r="A1135" i="3"/>
  <c r="A1134" i="3"/>
  <c r="A1133" i="3"/>
  <c r="A1132" i="3"/>
  <c r="A1131" i="3"/>
  <c r="A1130" i="3"/>
  <c r="A1129" i="3"/>
  <c r="A1128" i="3"/>
  <c r="A1127" i="3"/>
  <c r="A1126" i="3"/>
  <c r="A1125" i="3"/>
  <c r="A1124" i="3"/>
  <c r="A1123" i="3"/>
  <c r="A1122" i="3"/>
  <c r="A1121" i="3"/>
  <c r="A1120" i="3"/>
  <c r="A1119" i="3"/>
  <c r="A1118" i="3"/>
  <c r="A1117" i="3"/>
  <c r="A1116" i="3"/>
  <c r="A1115" i="3"/>
  <c r="A1114" i="3"/>
  <c r="A1113" i="3"/>
  <c r="A1112" i="3"/>
  <c r="A1111" i="3"/>
  <c r="A1110" i="3"/>
  <c r="A1109" i="3"/>
  <c r="A1108" i="3"/>
  <c r="A1107" i="3"/>
  <c r="A1106" i="3"/>
  <c r="A1104" i="3"/>
  <c r="A1103" i="3"/>
  <c r="A1101" i="3"/>
  <c r="A1100" i="3"/>
  <c r="A1099" i="3"/>
  <c r="A1098" i="3"/>
  <c r="A1097" i="3"/>
  <c r="A1096" i="3"/>
  <c r="A1095" i="3"/>
  <c r="A1094" i="3"/>
  <c r="A1093" i="3"/>
  <c r="A1092" i="3"/>
  <c r="A1091" i="3"/>
  <c r="A1090" i="3"/>
  <c r="A1088" i="3"/>
  <c r="A1087" i="3"/>
  <c r="A1086" i="3"/>
  <c r="A1085" i="3"/>
  <c r="A1084" i="3"/>
  <c r="A1083" i="3"/>
  <c r="A1082" i="3"/>
  <c r="A1081" i="3"/>
  <c r="A1080" i="3"/>
  <c r="A1079" i="3"/>
  <c r="A1078" i="3"/>
  <c r="A1077" i="3"/>
  <c r="A1076" i="3"/>
  <c r="A1075" i="3"/>
  <c r="A1074" i="3"/>
  <c r="A1073" i="3"/>
  <c r="A1072" i="3"/>
  <c r="A1071" i="3"/>
  <c r="A1070" i="3"/>
  <c r="A1068" i="3"/>
  <c r="A1066" i="3"/>
  <c r="A1065" i="3"/>
  <c r="A1064" i="3"/>
  <c r="A1063" i="3"/>
  <c r="A1062" i="3"/>
  <c r="Q1062" i="3" s="1"/>
  <c r="A1061" i="3"/>
  <c r="A1060" i="3"/>
  <c r="A1059" i="3"/>
  <c r="A1058" i="3"/>
  <c r="A1057" i="3"/>
  <c r="A1056" i="3"/>
  <c r="A1055" i="3"/>
  <c r="A1054" i="3"/>
  <c r="A1053" i="3"/>
  <c r="A1052" i="3"/>
  <c r="A1051" i="3"/>
  <c r="A1050" i="3"/>
  <c r="A1049" i="3"/>
  <c r="A1048" i="3"/>
  <c r="A1047" i="3"/>
  <c r="A1046" i="3"/>
  <c r="A1045" i="3"/>
  <c r="A1044" i="3"/>
  <c r="A1043" i="3"/>
  <c r="A1042" i="3"/>
  <c r="A1041" i="3"/>
  <c r="A1040" i="3"/>
  <c r="A1039" i="3"/>
  <c r="A1038" i="3"/>
  <c r="A1037" i="3"/>
  <c r="A1036" i="3"/>
  <c r="A1035" i="3"/>
  <c r="A1031" i="3"/>
  <c r="A1030" i="3"/>
  <c r="A1029" i="3"/>
  <c r="A1028" i="3"/>
  <c r="A1026" i="3"/>
  <c r="A1024" i="3"/>
  <c r="A1023" i="3"/>
  <c r="A1022" i="3"/>
  <c r="A1021" i="3"/>
  <c r="A1020" i="3"/>
  <c r="A1019" i="3"/>
  <c r="A1018" i="3"/>
  <c r="A1017" i="3"/>
  <c r="A1016" i="3"/>
  <c r="A1015" i="3"/>
  <c r="A1014" i="3"/>
  <c r="A1013" i="3"/>
  <c r="A1012" i="3"/>
  <c r="A1011" i="3"/>
  <c r="A1010" i="3"/>
  <c r="A1009" i="3"/>
  <c r="A1007" i="3"/>
  <c r="A1006" i="3"/>
  <c r="A1004" i="3"/>
  <c r="A1003" i="3"/>
  <c r="A1002" i="3"/>
  <c r="A1001" i="3"/>
  <c r="A1000" i="3"/>
  <c r="A999" i="3"/>
  <c r="A998" i="3"/>
  <c r="A997" i="3"/>
  <c r="A996" i="3"/>
  <c r="A995" i="3"/>
  <c r="A994" i="3"/>
  <c r="A993" i="3"/>
  <c r="A992" i="3"/>
  <c r="A991" i="3"/>
  <c r="A990" i="3"/>
  <c r="A989" i="3"/>
  <c r="Q989" i="3" s="1"/>
  <c r="A988" i="3"/>
  <c r="A987" i="3"/>
  <c r="A986" i="3"/>
  <c r="A985" i="3"/>
  <c r="A984" i="3"/>
  <c r="A983" i="3"/>
  <c r="A982" i="3"/>
  <c r="A981" i="3"/>
  <c r="A980" i="3"/>
  <c r="A979" i="3"/>
  <c r="A978" i="3"/>
  <c r="A977" i="3"/>
  <c r="A976" i="3"/>
  <c r="A975" i="3"/>
  <c r="A974" i="3"/>
  <c r="A973" i="3"/>
  <c r="Q973" i="3" s="1"/>
  <c r="A972" i="3"/>
  <c r="A970" i="3"/>
  <c r="A969" i="3"/>
  <c r="A968" i="3"/>
  <c r="A967" i="3"/>
  <c r="A966" i="3"/>
  <c r="A965" i="3"/>
  <c r="A964" i="3"/>
  <c r="A963" i="3"/>
  <c r="A962" i="3"/>
  <c r="A961" i="3"/>
  <c r="A960" i="3"/>
  <c r="A959" i="3"/>
  <c r="A958" i="3"/>
  <c r="A957" i="3"/>
  <c r="A956" i="3"/>
  <c r="A955" i="3"/>
  <c r="A954" i="3"/>
  <c r="A953" i="3"/>
  <c r="A952" i="3"/>
  <c r="A950" i="3"/>
  <c r="A949" i="3"/>
  <c r="A948" i="3"/>
  <c r="A947" i="3"/>
  <c r="A946" i="3"/>
  <c r="A945" i="3"/>
  <c r="A944" i="3"/>
  <c r="A943" i="3"/>
  <c r="A942" i="3"/>
  <c r="A941" i="3"/>
  <c r="A940" i="3"/>
  <c r="A938" i="3"/>
  <c r="A937" i="3"/>
  <c r="A936" i="3"/>
  <c r="A935" i="3"/>
  <c r="A934" i="3"/>
  <c r="A933" i="3"/>
  <c r="A932" i="3"/>
  <c r="A931" i="3"/>
  <c r="A930" i="3"/>
  <c r="A929" i="3"/>
  <c r="A928" i="3"/>
  <c r="A927" i="3"/>
  <c r="A926" i="3"/>
  <c r="A925" i="3"/>
  <c r="A924" i="3"/>
  <c r="A922" i="3"/>
  <c r="A921" i="3"/>
  <c r="A920" i="3"/>
  <c r="A919" i="3"/>
  <c r="A918" i="3"/>
  <c r="A917" i="3"/>
  <c r="A916" i="3"/>
  <c r="A915" i="3"/>
  <c r="A914" i="3"/>
  <c r="A913" i="3"/>
  <c r="A912" i="3"/>
  <c r="A911" i="3"/>
  <c r="A910" i="3"/>
  <c r="A909" i="3"/>
  <c r="A908" i="3"/>
  <c r="A907" i="3"/>
  <c r="A906" i="3"/>
  <c r="A905" i="3"/>
  <c r="A904" i="3"/>
  <c r="A902" i="3"/>
  <c r="A901" i="3"/>
  <c r="A900" i="3"/>
  <c r="A899" i="3"/>
  <c r="A898" i="3"/>
  <c r="A895" i="3"/>
  <c r="A894" i="3"/>
  <c r="A893" i="3"/>
  <c r="A892" i="3"/>
  <c r="A891" i="3"/>
  <c r="A890" i="3"/>
  <c r="A889" i="3"/>
  <c r="A888" i="3"/>
  <c r="A887" i="3"/>
  <c r="A886" i="3"/>
  <c r="A885" i="3"/>
  <c r="A884" i="3"/>
  <c r="A883" i="3"/>
  <c r="A882" i="3"/>
  <c r="A881" i="3"/>
  <c r="A880" i="3"/>
  <c r="A879" i="3"/>
  <c r="A876" i="3"/>
  <c r="A875" i="3"/>
  <c r="A874" i="3"/>
  <c r="A873" i="3"/>
  <c r="A872" i="3"/>
  <c r="A871" i="3"/>
  <c r="A868" i="3"/>
  <c r="A867" i="3"/>
  <c r="A866" i="3"/>
  <c r="A865" i="3"/>
  <c r="A864" i="3"/>
  <c r="A863" i="3"/>
  <c r="A862" i="3"/>
  <c r="A861" i="3"/>
  <c r="A860" i="3"/>
  <c r="A859" i="3"/>
  <c r="A858" i="3"/>
  <c r="A857" i="3"/>
  <c r="A856" i="3"/>
  <c r="A855" i="3"/>
  <c r="A854" i="3"/>
  <c r="A852" i="3"/>
  <c r="A851" i="3"/>
  <c r="A850" i="3"/>
  <c r="A849" i="3"/>
  <c r="A848" i="3"/>
  <c r="A847" i="3"/>
  <c r="A846" i="3"/>
  <c r="A845" i="3"/>
  <c r="A844" i="3"/>
  <c r="A843" i="3"/>
  <c r="A841" i="3"/>
  <c r="A840" i="3"/>
  <c r="A839" i="3"/>
  <c r="A838" i="3"/>
  <c r="A837" i="3"/>
  <c r="A836" i="3"/>
  <c r="A835" i="3"/>
  <c r="A834" i="3"/>
  <c r="A833" i="3"/>
  <c r="A832" i="3"/>
  <c r="A831" i="3"/>
  <c r="A830" i="3"/>
  <c r="A829" i="3"/>
  <c r="A828" i="3"/>
  <c r="A827" i="3"/>
  <c r="A826" i="3"/>
  <c r="A825" i="3"/>
  <c r="A824" i="3"/>
  <c r="A823" i="3"/>
  <c r="A822" i="3"/>
  <c r="A821" i="3"/>
  <c r="A820" i="3"/>
  <c r="A819" i="3"/>
  <c r="Q819" i="3" s="1"/>
  <c r="A818" i="3"/>
  <c r="A816" i="3"/>
  <c r="A815" i="3"/>
  <c r="A814" i="3"/>
  <c r="A813" i="3"/>
  <c r="A812" i="3"/>
  <c r="A811" i="3"/>
  <c r="A810" i="3"/>
  <c r="Q810" i="3" s="1"/>
  <c r="A809" i="3"/>
  <c r="A808" i="3"/>
  <c r="A807" i="3"/>
  <c r="A806" i="3"/>
  <c r="A805" i="3"/>
  <c r="A804" i="3"/>
  <c r="A803" i="3"/>
  <c r="A802" i="3"/>
  <c r="A801" i="3"/>
  <c r="A800" i="3"/>
  <c r="A799" i="3"/>
  <c r="A798" i="3"/>
  <c r="A797" i="3"/>
  <c r="A796" i="3"/>
  <c r="A795" i="3"/>
  <c r="A794" i="3"/>
  <c r="A793" i="3"/>
  <c r="A792" i="3"/>
  <c r="A791" i="3"/>
  <c r="A790" i="3"/>
  <c r="A789" i="3"/>
  <c r="A788" i="3"/>
  <c r="A787" i="3"/>
  <c r="A786" i="3"/>
  <c r="Q786" i="3" s="1"/>
  <c r="A785" i="3"/>
  <c r="A784" i="3"/>
  <c r="A783" i="3"/>
  <c r="A782" i="3"/>
  <c r="A781" i="3"/>
  <c r="A780" i="3"/>
  <c r="A779" i="3"/>
  <c r="A778" i="3"/>
  <c r="Q778" i="3" s="1"/>
  <c r="A777" i="3"/>
  <c r="A776" i="3"/>
  <c r="A775" i="3"/>
  <c r="A774" i="3"/>
  <c r="A773" i="3"/>
  <c r="A772" i="3"/>
  <c r="A771" i="3"/>
  <c r="A770" i="3"/>
  <c r="A769" i="3"/>
  <c r="A768" i="3"/>
  <c r="A767" i="3"/>
  <c r="A766" i="3"/>
  <c r="A765" i="3"/>
  <c r="A764" i="3"/>
  <c r="A763" i="3"/>
  <c r="A762" i="3"/>
  <c r="A761" i="3"/>
  <c r="A760" i="3"/>
  <c r="A759" i="3"/>
  <c r="A757" i="3"/>
  <c r="A756" i="3"/>
  <c r="A755" i="3"/>
  <c r="A754" i="3"/>
  <c r="A753" i="3"/>
  <c r="A752" i="3"/>
  <c r="A751" i="3"/>
  <c r="A750" i="3"/>
  <c r="A749" i="3"/>
  <c r="A748" i="3"/>
  <c r="A747" i="3"/>
  <c r="A746" i="3"/>
  <c r="A745"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5" i="3"/>
  <c r="A714" i="3"/>
  <c r="A713" i="3"/>
  <c r="A712" i="3"/>
  <c r="A711" i="3"/>
  <c r="A710" i="3"/>
  <c r="A709" i="3"/>
  <c r="A708" i="3"/>
  <c r="A707" i="3"/>
  <c r="A706" i="3"/>
  <c r="A704"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4" i="3"/>
  <c r="A663" i="3"/>
  <c r="A662" i="3"/>
  <c r="A661" i="3"/>
  <c r="A660" i="3"/>
  <c r="A659" i="3"/>
  <c r="A658" i="3"/>
  <c r="A657" i="3"/>
  <c r="A656" i="3"/>
  <c r="A655" i="3"/>
  <c r="A654" i="3"/>
  <c r="A653" i="3"/>
  <c r="A652" i="3"/>
  <c r="A651" i="3"/>
  <c r="A650" i="3"/>
  <c r="A649" i="3"/>
  <c r="Q649" i="3" s="1"/>
  <c r="A240" i="3"/>
  <c r="A647" i="3"/>
  <c r="A646" i="3"/>
  <c r="A645" i="3"/>
  <c r="A643" i="3"/>
  <c r="A642" i="3"/>
  <c r="A641" i="3"/>
  <c r="A640" i="3"/>
  <c r="A639" i="3"/>
  <c r="A638" i="3"/>
  <c r="A637" i="3"/>
  <c r="A636" i="3"/>
  <c r="A635" i="3"/>
  <c r="A634" i="3"/>
  <c r="A633" i="3"/>
  <c r="A632" i="3"/>
  <c r="A631" i="3"/>
  <c r="A630" i="3"/>
  <c r="A629" i="3"/>
  <c r="A628" i="3"/>
  <c r="A627" i="3"/>
  <c r="A626" i="3"/>
  <c r="A625" i="3"/>
  <c r="A624" i="3"/>
  <c r="A622" i="3"/>
  <c r="A621" i="3"/>
  <c r="A620" i="3"/>
  <c r="A619" i="3"/>
  <c r="A618" i="3"/>
  <c r="A617" i="3"/>
  <c r="A616" i="3"/>
  <c r="A615" i="3"/>
  <c r="A614" i="3"/>
  <c r="A613" i="3"/>
  <c r="A612" i="3"/>
  <c r="A611" i="3"/>
  <c r="A610" i="3"/>
  <c r="A609" i="3"/>
  <c r="A607" i="3"/>
  <c r="A606" i="3"/>
  <c r="A605" i="3"/>
  <c r="A604" i="3"/>
  <c r="A603" i="3"/>
  <c r="A602" i="3"/>
  <c r="A601" i="3"/>
  <c r="A600" i="3"/>
  <c r="A599" i="3"/>
  <c r="A598" i="3"/>
  <c r="A597" i="3"/>
  <c r="A596" i="3"/>
  <c r="A595" i="3"/>
  <c r="A593" i="3"/>
  <c r="A592" i="3"/>
  <c r="A591" i="3"/>
  <c r="A590" i="3"/>
  <c r="A589" i="3"/>
  <c r="A588" i="3"/>
  <c r="A587" i="3"/>
  <c r="A586" i="3"/>
  <c r="A585" i="3"/>
  <c r="Q585" i="3" s="1"/>
  <c r="A584" i="3"/>
  <c r="A583" i="3"/>
  <c r="A582" i="3"/>
  <c r="A581" i="3"/>
  <c r="A580" i="3"/>
  <c r="A579" i="3"/>
  <c r="A578" i="3"/>
  <c r="A577" i="3"/>
  <c r="A576" i="3"/>
  <c r="A575" i="3"/>
  <c r="Q575" i="3" s="1"/>
  <c r="A574" i="3"/>
  <c r="A573" i="3"/>
  <c r="A572" i="3"/>
  <c r="A571" i="3"/>
  <c r="Q571" i="3" s="1"/>
  <c r="A570" i="3"/>
  <c r="A569" i="3"/>
  <c r="A568" i="3"/>
  <c r="A567"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Q531" i="3" s="1"/>
  <c r="A530" i="3"/>
  <c r="A529" i="3"/>
  <c r="A528" i="3"/>
  <c r="A527" i="3"/>
  <c r="A526" i="3"/>
  <c r="A525" i="3"/>
  <c r="A524" i="3"/>
  <c r="A523" i="3"/>
  <c r="A522" i="3"/>
  <c r="A521" i="3"/>
  <c r="A520" i="3"/>
  <c r="A519" i="3"/>
  <c r="Q519" i="3" s="1"/>
  <c r="A517" i="3"/>
  <c r="A516" i="3"/>
  <c r="A515" i="3"/>
  <c r="A514" i="3"/>
  <c r="A513" i="3"/>
  <c r="A512" i="3"/>
  <c r="A511" i="3"/>
  <c r="A510" i="3"/>
  <c r="A509" i="3"/>
  <c r="A508" i="3"/>
  <c r="A507" i="3"/>
  <c r="A506" i="3"/>
  <c r="A505" i="3"/>
  <c r="A504" i="3"/>
  <c r="A503" i="3"/>
  <c r="A502" i="3"/>
  <c r="A501" i="3"/>
  <c r="A500" i="3"/>
  <c r="A499" i="3"/>
  <c r="A498" i="3"/>
  <c r="Q498" i="3" s="1"/>
  <c r="A497" i="3"/>
  <c r="A496" i="3"/>
  <c r="A495" i="3"/>
  <c r="A494" i="3"/>
  <c r="A492" i="3"/>
  <c r="A491" i="3"/>
  <c r="A490" i="3"/>
  <c r="A489" i="3"/>
  <c r="A488" i="3"/>
  <c r="A487" i="3"/>
  <c r="A486" i="3"/>
  <c r="A485" i="3"/>
  <c r="Q485" i="3" s="1"/>
  <c r="A484" i="3"/>
  <c r="A483" i="3"/>
  <c r="A482" i="3"/>
  <c r="A481" i="3"/>
  <c r="A480" i="3"/>
  <c r="A479" i="3"/>
  <c r="A478" i="3"/>
  <c r="A477" i="3"/>
  <c r="A476" i="3"/>
  <c r="A475" i="3"/>
  <c r="A474" i="3"/>
  <c r="A473" i="3"/>
  <c r="A472" i="3"/>
  <c r="A471" i="3"/>
  <c r="A470" i="3"/>
  <c r="A469" i="3"/>
  <c r="A468" i="3"/>
  <c r="A467" i="3"/>
  <c r="A466" i="3"/>
  <c r="A465" i="3"/>
  <c r="Q465" i="3" s="1"/>
  <c r="A464" i="3"/>
  <c r="A463" i="3"/>
  <c r="A462" i="3"/>
  <c r="A461" i="3"/>
  <c r="A460" i="3"/>
  <c r="A458" i="3"/>
  <c r="A457" i="3"/>
  <c r="A456" i="3"/>
  <c r="A455" i="3"/>
  <c r="A454" i="3"/>
  <c r="A453" i="3"/>
  <c r="A452" i="3"/>
  <c r="Q452" i="3" s="1"/>
  <c r="A451" i="3"/>
  <c r="A450" i="3"/>
  <c r="A449" i="3"/>
  <c r="A448" i="3"/>
  <c r="A447" i="3"/>
  <c r="A446" i="3"/>
  <c r="A445" i="3"/>
  <c r="A444" i="3"/>
  <c r="A443" i="3"/>
  <c r="A442" i="3"/>
  <c r="A440" i="3"/>
  <c r="A439" i="3"/>
  <c r="A438" i="3"/>
  <c r="A437" i="3"/>
  <c r="A436" i="3"/>
  <c r="A435" i="3"/>
  <c r="A434" i="3"/>
  <c r="A433" i="3"/>
  <c r="A432" i="3"/>
  <c r="A431" i="3"/>
  <c r="Q431" i="3" s="1"/>
  <c r="A430" i="3"/>
  <c r="A429" i="3"/>
  <c r="A428" i="3"/>
  <c r="A426" i="3"/>
  <c r="A425" i="3"/>
  <c r="A423" i="3"/>
  <c r="A422" i="3"/>
  <c r="A421" i="3"/>
  <c r="A420" i="3"/>
  <c r="A419" i="3"/>
  <c r="A418" i="3"/>
  <c r="A417" i="3"/>
  <c r="Q417" i="3" s="1"/>
  <c r="A416" i="3"/>
  <c r="A415" i="3"/>
  <c r="A414" i="3"/>
  <c r="A413" i="3"/>
  <c r="A412" i="3"/>
  <c r="A411" i="3"/>
  <c r="A409" i="3"/>
  <c r="A408" i="3"/>
  <c r="A407" i="3"/>
  <c r="A406" i="3"/>
  <c r="A404" i="3"/>
  <c r="A403" i="3"/>
  <c r="A402" i="3"/>
  <c r="A401" i="3"/>
  <c r="A400" i="3"/>
  <c r="A399" i="3"/>
  <c r="A398" i="3"/>
  <c r="Q398" i="3" s="1"/>
  <c r="A397" i="3"/>
  <c r="A395" i="3"/>
  <c r="A394" i="3"/>
  <c r="A393" i="3"/>
  <c r="A392" i="3"/>
  <c r="A391" i="3"/>
  <c r="A390" i="3"/>
  <c r="A388" i="3"/>
  <c r="A387" i="3"/>
  <c r="A386" i="3"/>
  <c r="A385" i="3"/>
  <c r="A384" i="3"/>
  <c r="A383" i="3"/>
  <c r="A382" i="3"/>
  <c r="A381" i="3"/>
  <c r="A380" i="3"/>
  <c r="A379" i="3"/>
  <c r="A378" i="3"/>
  <c r="A377" i="3"/>
  <c r="A376" i="3"/>
  <c r="A375" i="3"/>
  <c r="A374" i="3"/>
  <c r="A373" i="3"/>
  <c r="A372" i="3"/>
  <c r="A371" i="3"/>
  <c r="Q371" i="3" s="1"/>
  <c r="A369" i="3"/>
  <c r="A368" i="3"/>
  <c r="A367" i="3"/>
  <c r="Q367" i="3" s="1"/>
  <c r="A366" i="3"/>
  <c r="A365" i="3"/>
  <c r="A364" i="3"/>
  <c r="A363" i="3"/>
  <c r="A362" i="3"/>
  <c r="A361" i="3"/>
  <c r="A360" i="3"/>
  <c r="A359" i="3"/>
  <c r="A358" i="3"/>
  <c r="A355" i="3"/>
  <c r="A354" i="3"/>
  <c r="A353" i="3"/>
  <c r="Q353" i="3" s="1"/>
  <c r="A352" i="3"/>
  <c r="A351" i="3"/>
  <c r="A350" i="3"/>
  <c r="A349" i="3"/>
  <c r="A348" i="3"/>
  <c r="A347" i="3"/>
  <c r="A346" i="3"/>
  <c r="A345" i="3"/>
  <c r="A344" i="3"/>
  <c r="A343" i="3"/>
  <c r="A341" i="3"/>
  <c r="A340" i="3"/>
  <c r="A339" i="3"/>
  <c r="A338" i="3"/>
  <c r="A337" i="3"/>
  <c r="A336" i="3"/>
  <c r="A334" i="3"/>
  <c r="A333" i="3"/>
  <c r="A332" i="3"/>
  <c r="A331" i="3"/>
  <c r="Q331" i="3" s="1"/>
  <c r="A330" i="3"/>
  <c r="A329" i="3"/>
  <c r="A328" i="3"/>
  <c r="A327" i="3"/>
  <c r="A326" i="3"/>
  <c r="A325" i="3"/>
  <c r="A324" i="3"/>
  <c r="A323" i="3"/>
  <c r="A322" i="3"/>
  <c r="A321" i="3"/>
  <c r="A320" i="3"/>
  <c r="A319" i="3"/>
  <c r="A318" i="3"/>
  <c r="A317" i="3"/>
  <c r="A316" i="3"/>
  <c r="A315" i="3"/>
  <c r="A314" i="3"/>
  <c r="A313" i="3"/>
  <c r="A312" i="3"/>
  <c r="A311" i="3"/>
  <c r="A310"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Q282" i="3" s="1"/>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Q242" i="3" s="1"/>
  <c r="A241" i="3"/>
  <c r="A239" i="3"/>
  <c r="A238" i="3"/>
  <c r="A237" i="3"/>
  <c r="A236" i="3"/>
  <c r="A235" i="3"/>
  <c r="A234" i="3"/>
  <c r="A233" i="3"/>
  <c r="A232" i="3"/>
  <c r="A231" i="3"/>
  <c r="A230" i="3"/>
  <c r="A229" i="3"/>
  <c r="A228" i="3"/>
  <c r="Q228" i="3" s="1"/>
  <c r="A227" i="3"/>
  <c r="A226" i="3"/>
  <c r="A225" i="3"/>
  <c r="A224" i="3"/>
  <c r="A223" i="3"/>
  <c r="A222" i="3"/>
  <c r="A221" i="3"/>
  <c r="Q221" i="3" s="1"/>
  <c r="A218" i="3"/>
  <c r="A217" i="3"/>
  <c r="A215" i="3"/>
  <c r="A214" i="3"/>
  <c r="A213" i="3"/>
  <c r="A212" i="3"/>
  <c r="A210" i="3"/>
  <c r="A209" i="3"/>
  <c r="A208" i="3"/>
  <c r="A207" i="3"/>
  <c r="A206" i="3"/>
  <c r="A205" i="3"/>
  <c r="A204" i="3"/>
  <c r="A203" i="3"/>
  <c r="A202" i="3"/>
  <c r="A201" i="3"/>
  <c r="A200" i="3"/>
  <c r="A199" i="3"/>
  <c r="A198" i="3"/>
  <c r="A197" i="3"/>
  <c r="A196" i="3"/>
  <c r="A195" i="3"/>
  <c r="A194" i="3"/>
  <c r="A193" i="3"/>
  <c r="A192" i="3"/>
  <c r="A191" i="3"/>
  <c r="Q191" i="3" s="1"/>
  <c r="A190" i="3"/>
  <c r="A189" i="3"/>
  <c r="A188" i="3"/>
  <c r="A187" i="3"/>
  <c r="A186" i="3"/>
  <c r="A185" i="3"/>
  <c r="A184" i="3"/>
  <c r="A183" i="3"/>
  <c r="A182" i="3"/>
  <c r="A181" i="3"/>
  <c r="A180" i="3"/>
  <c r="A179" i="3"/>
  <c r="A178" i="3"/>
  <c r="A177" i="3"/>
  <c r="A176" i="3"/>
  <c r="A175" i="3"/>
  <c r="A174" i="3"/>
  <c r="A173" i="3"/>
  <c r="A172" i="3"/>
  <c r="A171" i="3"/>
  <c r="A170" i="3"/>
  <c r="A169" i="3"/>
  <c r="A168" i="3"/>
  <c r="A166" i="3"/>
  <c r="A164" i="3"/>
  <c r="A163" i="3"/>
  <c r="A162" i="3"/>
  <c r="A161" i="3"/>
  <c r="A160" i="3"/>
  <c r="A159" i="3"/>
  <c r="A158" i="3"/>
  <c r="A157" i="3"/>
  <c r="A156" i="3"/>
  <c r="A155" i="3"/>
  <c r="A154" i="3"/>
  <c r="A153" i="3"/>
  <c r="A152" i="3"/>
  <c r="A151" i="3"/>
  <c r="A150" i="3"/>
  <c r="A149" i="3"/>
  <c r="A148" i="3"/>
  <c r="A146" i="3"/>
  <c r="A144" i="3"/>
  <c r="A143" i="3"/>
  <c r="A142" i="3"/>
  <c r="Q142" i="3" s="1"/>
  <c r="A141" i="3"/>
  <c r="A140" i="3"/>
  <c r="Q140" i="3" s="1"/>
  <c r="A139" i="3"/>
  <c r="A138" i="3"/>
  <c r="A137" i="3"/>
  <c r="A136" i="3"/>
  <c r="A135" i="3"/>
  <c r="A134" i="3"/>
  <c r="A133" i="3"/>
  <c r="Q133" i="3" s="1"/>
  <c r="A132" i="3"/>
  <c r="A131" i="3"/>
  <c r="A130" i="3"/>
  <c r="A129" i="3"/>
  <c r="A128" i="3"/>
  <c r="A127" i="3"/>
  <c r="A126" i="3"/>
  <c r="A125" i="3"/>
  <c r="A124" i="3"/>
  <c r="A123" i="3"/>
  <c r="A122" i="3"/>
  <c r="A120" i="3"/>
  <c r="A119" i="3"/>
  <c r="A118" i="3"/>
  <c r="A117" i="3"/>
  <c r="A116" i="3"/>
  <c r="A115" i="3"/>
  <c r="Q115" i="3" s="1"/>
  <c r="A114" i="3"/>
  <c r="A113" i="3"/>
  <c r="A112" i="3"/>
  <c r="A111" i="3"/>
  <c r="A110" i="3"/>
  <c r="A109" i="3"/>
  <c r="A108" i="3"/>
  <c r="A107" i="3"/>
  <c r="A106" i="3"/>
  <c r="A105" i="3"/>
  <c r="A104" i="3"/>
  <c r="A103" i="3"/>
  <c r="A102" i="3"/>
  <c r="A101" i="3"/>
  <c r="A100" i="3"/>
  <c r="A99" i="3"/>
  <c r="A98" i="3"/>
  <c r="A97" i="3"/>
  <c r="A95" i="3"/>
  <c r="A94" i="3"/>
  <c r="A93" i="3"/>
  <c r="A92" i="3"/>
  <c r="A91" i="3"/>
  <c r="A90" i="3"/>
  <c r="A89" i="3"/>
  <c r="A88" i="3"/>
  <c r="A87" i="3"/>
  <c r="A86" i="3"/>
  <c r="A85" i="3"/>
  <c r="A84" i="3"/>
  <c r="A83" i="3"/>
  <c r="A82" i="3"/>
  <c r="A81" i="3"/>
  <c r="A80" i="3"/>
  <c r="A79" i="3"/>
  <c r="A78" i="3"/>
  <c r="A77" i="3"/>
  <c r="A75" i="3"/>
  <c r="Q75" i="3" s="1"/>
  <c r="A74" i="3"/>
  <c r="A73" i="3"/>
  <c r="Q73" i="3" s="1"/>
  <c r="A72" i="3"/>
  <c r="A71" i="3"/>
  <c r="A70" i="3"/>
  <c r="A69" i="3"/>
  <c r="A68" i="3"/>
  <c r="A67" i="3"/>
  <c r="A66" i="3"/>
  <c r="Q66" i="3" s="1"/>
  <c r="A65" i="3"/>
  <c r="A64" i="3"/>
  <c r="A61" i="3"/>
  <c r="A60" i="3"/>
  <c r="A59" i="3"/>
  <c r="A58" i="3"/>
  <c r="A57" i="3"/>
  <c r="A56" i="3"/>
  <c r="A55" i="3"/>
  <c r="A51" i="3"/>
  <c r="A50" i="3"/>
  <c r="A49" i="3"/>
  <c r="A48" i="3"/>
  <c r="A47" i="3"/>
  <c r="A46" i="3"/>
  <c r="A45" i="3"/>
  <c r="A44" i="3"/>
  <c r="Q44" i="3" s="1"/>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Q6" i="3" s="1"/>
  <c r="A5" i="3"/>
  <c r="A4" i="3"/>
  <c r="Q4" i="3" s="1"/>
  <c r="A3" i="3"/>
  <c r="A2" i="3"/>
  <c r="A1089" i="3"/>
  <c r="A644" i="3"/>
  <c r="A52" i="3"/>
  <c r="A1168" i="3"/>
  <c r="A1067" i="3"/>
  <c r="A147" i="3"/>
  <c r="A566" i="3"/>
  <c r="A758" i="3"/>
  <c r="A76" i="3"/>
  <c r="A1173" i="3"/>
  <c r="A121" i="3"/>
  <c r="A1025" i="3"/>
  <c r="A1105" i="3"/>
  <c r="A424" i="3"/>
  <c r="A167" i="3"/>
  <c r="A357" i="3"/>
  <c r="A853" i="3"/>
  <c r="A1008" i="3"/>
  <c r="A594" i="3"/>
  <c r="A878" i="3"/>
  <c r="A903" i="3"/>
  <c r="Q903" i="3" s="1"/>
  <c r="R903" i="3" s="1"/>
  <c r="A869" i="3"/>
  <c r="A1069" i="3"/>
  <c r="A370" i="3"/>
  <c r="A211" i="3"/>
  <c r="A877" i="3"/>
  <c r="A145" i="3"/>
  <c r="A939" i="3"/>
  <c r="A389" i="3"/>
  <c r="A62" i="3"/>
  <c r="A96" i="3"/>
  <c r="A441" i="3"/>
  <c r="A1194" i="3"/>
  <c r="A744" i="3"/>
  <c r="A1033" i="3"/>
  <c r="A842" i="3"/>
  <c r="A703" i="3"/>
  <c r="A923" i="3"/>
  <c r="A342" i="3"/>
  <c r="A1027" i="3"/>
  <c r="A427" i="3"/>
  <c r="A220" i="3"/>
  <c r="A493" i="3"/>
  <c r="A216" i="3"/>
  <c r="A665" i="3"/>
  <c r="A716" i="3"/>
  <c r="A896" i="3"/>
  <c r="A410" i="3"/>
  <c r="A1034" i="3"/>
  <c r="A356" i="3"/>
  <c r="A518" i="3"/>
  <c r="A951" i="3"/>
  <c r="A54" i="3"/>
  <c r="A396" i="3"/>
  <c r="A623" i="3"/>
  <c r="A63" i="3"/>
  <c r="A817" i="3"/>
  <c r="A705" i="3"/>
  <c r="A608" i="3"/>
  <c r="Q608" i="3" s="1"/>
  <c r="R608" i="3" s="1"/>
  <c r="A165" i="3"/>
  <c r="A1195" i="3"/>
  <c r="Q1195" i="3" s="1"/>
  <c r="R1195" i="3" s="1"/>
  <c r="A1158" i="3"/>
  <c r="A309" i="3"/>
  <c r="A1032" i="3"/>
  <c r="A219" i="3"/>
  <c r="A405" i="3"/>
  <c r="A53" i="3"/>
  <c r="A335" i="3"/>
  <c r="A971" i="3"/>
  <c r="A870" i="3"/>
  <c r="A1005" i="3"/>
  <c r="A897" i="3"/>
  <c r="A1166" i="3"/>
  <c r="A1102" i="3"/>
  <c r="A459" i="3"/>
  <c r="A1164" i="3"/>
  <c r="R35" i="4"/>
  <c r="Q35" i="4"/>
  <c r="P35" i="4"/>
  <c r="S33" i="10" s="1"/>
  <c r="G35" i="4"/>
  <c r="F35" i="4"/>
  <c r="R34" i="4"/>
  <c r="Q34" i="4"/>
  <c r="P34" i="4"/>
  <c r="S32" i="10" s="1"/>
  <c r="G34" i="4"/>
  <c r="F34" i="4"/>
  <c r="J34" i="4" s="1"/>
  <c r="R33" i="4"/>
  <c r="Q33" i="4"/>
  <c r="P33" i="4"/>
  <c r="S31" i="10" s="1"/>
  <c r="G33" i="4"/>
  <c r="F33" i="4"/>
  <c r="R32" i="4"/>
  <c r="Q32" i="4"/>
  <c r="P32" i="4"/>
  <c r="S30" i="10" s="1"/>
  <c r="G32" i="4"/>
  <c r="F32" i="4"/>
  <c r="J32" i="4" s="1"/>
  <c r="R31" i="4"/>
  <c r="Q31" i="4"/>
  <c r="P31" i="4"/>
  <c r="S29" i="10" s="1"/>
  <c r="G31" i="4"/>
  <c r="F31" i="4"/>
  <c r="C31" i="4"/>
  <c r="R30" i="4"/>
  <c r="Q30" i="4"/>
  <c r="P30" i="4"/>
  <c r="S28" i="10" s="1"/>
  <c r="G30" i="4"/>
  <c r="F30" i="4"/>
  <c r="J30" i="4" s="1"/>
  <c r="C30" i="4"/>
  <c r="A30" i="4"/>
  <c r="R29" i="4"/>
  <c r="Q29" i="4"/>
  <c r="P29" i="4"/>
  <c r="S27" i="10" s="1"/>
  <c r="G29" i="4"/>
  <c r="F29" i="4"/>
  <c r="C29" i="4"/>
  <c r="A29" i="4"/>
  <c r="R28" i="4"/>
  <c r="Q28" i="4"/>
  <c r="P28" i="4"/>
  <c r="S26" i="10" s="1"/>
  <c r="G28" i="4"/>
  <c r="F28" i="4"/>
  <c r="J28" i="4" s="1"/>
  <c r="C28" i="4"/>
  <c r="A28" i="4"/>
  <c r="R27" i="4"/>
  <c r="Q27" i="4"/>
  <c r="P27" i="4"/>
  <c r="S25" i="10" s="1"/>
  <c r="G27" i="4"/>
  <c r="F27" i="4"/>
  <c r="H27" i="4" s="1"/>
  <c r="C27" i="4"/>
  <c r="A27" i="4"/>
  <c r="R26" i="4"/>
  <c r="Q26" i="4"/>
  <c r="P26" i="4"/>
  <c r="S24" i="10" s="1"/>
  <c r="G26" i="4"/>
  <c r="F26" i="4"/>
  <c r="J26" i="4" s="1"/>
  <c r="C26" i="4"/>
  <c r="A26" i="4"/>
  <c r="R25" i="4"/>
  <c r="Q25" i="4"/>
  <c r="P25" i="4"/>
  <c r="S23" i="10" s="1"/>
  <c r="G25" i="4"/>
  <c r="F25" i="4"/>
  <c r="H25" i="4" s="1"/>
  <c r="C25" i="4"/>
  <c r="A25" i="4"/>
  <c r="R24" i="4"/>
  <c r="Q24" i="4"/>
  <c r="P24" i="4"/>
  <c r="S22" i="10" s="1"/>
  <c r="G24" i="4"/>
  <c r="F24" i="4"/>
  <c r="J24" i="4" s="1"/>
  <c r="C24" i="4"/>
  <c r="A24" i="4"/>
  <c r="R23" i="4"/>
  <c r="Q23" i="4"/>
  <c r="P23" i="4"/>
  <c r="S21" i="10" s="1"/>
  <c r="G23" i="4"/>
  <c r="F23" i="4"/>
  <c r="H23" i="4" s="1"/>
  <c r="R22" i="4"/>
  <c r="Q22" i="4"/>
  <c r="P22" i="4"/>
  <c r="S20" i="10" s="1"/>
  <c r="G22" i="4"/>
  <c r="F22" i="4"/>
  <c r="J22" i="4" s="1"/>
  <c r="R21" i="4"/>
  <c r="Q21" i="4"/>
  <c r="P21" i="4"/>
  <c r="S19" i="10" s="1"/>
  <c r="G21" i="4"/>
  <c r="F21" i="4"/>
  <c r="R20" i="4"/>
  <c r="Q20" i="4"/>
  <c r="P20" i="4"/>
  <c r="S18" i="10" s="1"/>
  <c r="G20" i="4"/>
  <c r="F20" i="4"/>
  <c r="J20" i="4" s="1"/>
  <c r="R19" i="4"/>
  <c r="Q19" i="4"/>
  <c r="P19" i="4"/>
  <c r="S17" i="10" s="1"/>
  <c r="G19" i="4"/>
  <c r="F19" i="4"/>
  <c r="H19" i="4" s="1"/>
  <c r="R18" i="4"/>
  <c r="Q18" i="4"/>
  <c r="P18" i="4"/>
  <c r="S16" i="10" s="1"/>
  <c r="G18" i="4"/>
  <c r="F18" i="4"/>
  <c r="R17" i="4"/>
  <c r="Q17" i="4"/>
  <c r="P17" i="4"/>
  <c r="S15" i="10" s="1"/>
  <c r="G17" i="4"/>
  <c r="F17" i="4"/>
  <c r="J17" i="4" s="1"/>
  <c r="R16" i="4"/>
  <c r="Q16" i="4"/>
  <c r="P16" i="4"/>
  <c r="S14" i="10" s="1"/>
  <c r="G16" i="4"/>
  <c r="F16" i="4"/>
  <c r="R15" i="4"/>
  <c r="Q15" i="4"/>
  <c r="P15" i="4"/>
  <c r="S13" i="10" s="1"/>
  <c r="G15" i="4"/>
  <c r="F15" i="4"/>
  <c r="H15" i="4" s="1"/>
  <c r="R14" i="4"/>
  <c r="Q14" i="4"/>
  <c r="P14" i="4"/>
  <c r="S12" i="10" s="1"/>
  <c r="G14" i="4"/>
  <c r="F14" i="4"/>
  <c r="J14" i="4" s="1"/>
  <c r="R13" i="4"/>
  <c r="Q13" i="4"/>
  <c r="P13" i="4"/>
  <c r="S11" i="10" s="1"/>
  <c r="G13" i="4"/>
  <c r="F13" i="4"/>
  <c r="J13" i="4" s="1"/>
  <c r="R12" i="4"/>
  <c r="Q12" i="4"/>
  <c r="P12" i="4"/>
  <c r="S10" i="10" s="1"/>
  <c r="G12" i="4"/>
  <c r="F12" i="4"/>
  <c r="J12" i="4" s="1"/>
  <c r="R11" i="4"/>
  <c r="Q11" i="4"/>
  <c r="P11" i="4"/>
  <c r="S9" i="10" s="1"/>
  <c r="G11" i="4"/>
  <c r="F11" i="4"/>
  <c r="J11" i="4" s="1"/>
  <c r="R10" i="4"/>
  <c r="Q10" i="4"/>
  <c r="P10" i="4"/>
  <c r="S8" i="10" s="1"/>
  <c r="G10" i="4"/>
  <c r="F10" i="4"/>
  <c r="R9" i="4"/>
  <c r="Q9" i="4"/>
  <c r="P9" i="4"/>
  <c r="S7" i="10" s="1"/>
  <c r="G9" i="4"/>
  <c r="F9" i="4"/>
  <c r="J9" i="4" s="1"/>
  <c r="R8" i="4"/>
  <c r="Q8" i="4"/>
  <c r="P8" i="4"/>
  <c r="S6" i="10" s="1"/>
  <c r="G8" i="4"/>
  <c r="F8" i="4"/>
  <c r="J8" i="4" s="1"/>
  <c r="R7" i="4"/>
  <c r="Q7" i="4"/>
  <c r="P7" i="4"/>
  <c r="S5" i="10" s="1"/>
  <c r="G7" i="4"/>
  <c r="F7" i="4"/>
  <c r="J7" i="4" s="1"/>
  <c r="R6" i="4"/>
  <c r="Q6" i="4"/>
  <c r="P6" i="4"/>
  <c r="S4" i="10" s="1"/>
  <c r="G6" i="4"/>
  <c r="F6" i="4"/>
  <c r="J4" i="7"/>
  <c r="A100" i="9"/>
  <c r="A99" i="9"/>
  <c r="A98" i="9"/>
  <c r="A97" i="9"/>
  <c r="A96" i="9"/>
  <c r="A95" i="9"/>
  <c r="A94" i="9"/>
  <c r="C94" i="9" s="1"/>
  <c r="A93" i="9"/>
  <c r="A92" i="9"/>
  <c r="E92" i="9" s="1"/>
  <c r="A91" i="9"/>
  <c r="A90" i="9"/>
  <c r="D90" i="9" s="1"/>
  <c r="A89" i="9"/>
  <c r="D89" i="9" s="1"/>
  <c r="A88" i="9"/>
  <c r="D88" i="9" s="1"/>
  <c r="A87" i="9"/>
  <c r="B87" i="9" s="1"/>
  <c r="A86" i="9"/>
  <c r="B86" i="9" s="1"/>
  <c r="A85" i="9"/>
  <c r="B85" i="9" s="1"/>
  <c r="A84" i="9"/>
  <c r="B84" i="9" s="1"/>
  <c r="A83" i="9"/>
  <c r="B83" i="9" s="1"/>
  <c r="A82" i="9"/>
  <c r="B82" i="9" s="1"/>
  <c r="A81" i="9"/>
  <c r="B81" i="9" s="1"/>
  <c r="A80" i="9"/>
  <c r="B80" i="9" s="1"/>
  <c r="A79" i="9"/>
  <c r="B79" i="9" s="1"/>
  <c r="A78" i="9"/>
  <c r="B78" i="9" s="1"/>
  <c r="L77" i="9"/>
  <c r="A77" i="9"/>
  <c r="L76" i="9"/>
  <c r="A76" i="9"/>
  <c r="B76" i="9" s="1"/>
  <c r="L75" i="9"/>
  <c r="A75" i="9"/>
  <c r="B75" i="9" s="1"/>
  <c r="L74" i="9"/>
  <c r="A74" i="9"/>
  <c r="B74" i="9" s="1"/>
  <c r="L73" i="9"/>
  <c r="A73" i="9"/>
  <c r="B73" i="9" s="1"/>
  <c r="L72" i="9"/>
  <c r="A72" i="9"/>
  <c r="B72" i="9" s="1"/>
  <c r="L71" i="9"/>
  <c r="A71" i="9"/>
  <c r="B71" i="9" s="1"/>
  <c r="L70" i="9"/>
  <c r="A70" i="9"/>
  <c r="L69" i="9"/>
  <c r="A69" i="9"/>
  <c r="B69" i="9" s="1"/>
  <c r="L68" i="9"/>
  <c r="A68" i="9"/>
  <c r="B68" i="9" s="1"/>
  <c r="L67" i="9"/>
  <c r="A67" i="9"/>
  <c r="B67" i="9" s="1"/>
  <c r="L66" i="9"/>
  <c r="A66" i="9"/>
  <c r="B66" i="9" s="1"/>
  <c r="L65" i="9"/>
  <c r="A65" i="9"/>
  <c r="B65" i="9" s="1"/>
  <c r="L64" i="9"/>
  <c r="A64" i="9"/>
  <c r="B64" i="9" s="1"/>
  <c r="L63" i="9"/>
  <c r="A63" i="9"/>
  <c r="A62" i="9"/>
  <c r="B62" i="9" s="1"/>
  <c r="A61" i="9"/>
  <c r="B61" i="9" s="1"/>
  <c r="A60" i="9"/>
  <c r="B60" i="9" s="1"/>
  <c r="A59" i="9"/>
  <c r="B59" i="9" s="1"/>
  <c r="A58" i="9"/>
  <c r="B58" i="9" s="1"/>
  <c r="A57" i="9"/>
  <c r="B57" i="9" s="1"/>
  <c r="A56" i="9"/>
  <c r="B56" i="9" s="1"/>
  <c r="A55" i="9"/>
  <c r="B55" i="9" s="1"/>
  <c r="A54" i="9"/>
  <c r="B54" i="9" s="1"/>
  <c r="A53" i="9"/>
  <c r="B53" i="9" s="1"/>
  <c r="A52" i="9"/>
  <c r="A51" i="9"/>
  <c r="A50" i="9"/>
  <c r="A49" i="9"/>
  <c r="A48" i="9"/>
  <c r="A47" i="9"/>
  <c r="B47" i="9" s="1"/>
  <c r="A46" i="9"/>
  <c r="B46" i="9" s="1"/>
  <c r="A45" i="9"/>
  <c r="B45" i="9" s="1"/>
  <c r="A44" i="9"/>
  <c r="B44" i="9" s="1"/>
  <c r="A43" i="9"/>
  <c r="A42" i="9"/>
  <c r="A41" i="9"/>
  <c r="A40" i="9"/>
  <c r="B40" i="9" s="1"/>
  <c r="A39" i="9"/>
  <c r="A38" i="9"/>
  <c r="A37" i="9"/>
  <c r="B37" i="9" s="1"/>
  <c r="A36" i="9"/>
  <c r="B36" i="9" s="1"/>
  <c r="A35" i="9"/>
  <c r="B35" i="9" s="1"/>
  <c r="A34" i="9"/>
  <c r="B34" i="9" s="1"/>
  <c r="A33" i="9"/>
  <c r="B33" i="9" s="1"/>
  <c r="A32" i="9"/>
  <c r="B32" i="9" s="1"/>
  <c r="A31" i="9"/>
  <c r="B31" i="9" s="1"/>
  <c r="A30" i="9"/>
  <c r="B30" i="9" s="1"/>
  <c r="A29" i="9"/>
  <c r="B29" i="9" s="1"/>
  <c r="A28" i="9"/>
  <c r="B28" i="9" s="1"/>
  <c r="A27" i="9"/>
  <c r="B27" i="9" s="1"/>
  <c r="A26" i="9"/>
  <c r="B26" i="9" s="1"/>
  <c r="A25" i="9"/>
  <c r="B25" i="9" s="1"/>
  <c r="A24" i="9"/>
  <c r="B24" i="9" s="1"/>
  <c r="A23" i="9"/>
  <c r="B23" i="9" s="1"/>
  <c r="A22" i="9"/>
  <c r="B22" i="9" s="1"/>
  <c r="A21" i="9"/>
  <c r="B21" i="9" s="1"/>
  <c r="A20" i="9"/>
  <c r="B20" i="9" s="1"/>
  <c r="A19" i="9"/>
  <c r="B19" i="9" s="1"/>
  <c r="A18" i="9"/>
  <c r="B18" i="9" s="1"/>
  <c r="A17" i="9"/>
  <c r="B17" i="9" s="1"/>
  <c r="A16" i="9"/>
  <c r="B16" i="9" s="1"/>
  <c r="A15" i="9"/>
  <c r="A14" i="9"/>
  <c r="B14" i="9" s="1"/>
  <c r="A13" i="9"/>
  <c r="A12" i="9"/>
  <c r="A11" i="9"/>
  <c r="A10" i="9"/>
  <c r="A9" i="9"/>
  <c r="A8" i="9"/>
  <c r="B8" i="9" s="1"/>
  <c r="Q2" i="3" l="1"/>
  <c r="R2" i="3" s="1"/>
  <c r="S2" i="3" s="1"/>
  <c r="K7" i="4"/>
  <c r="K11" i="4"/>
  <c r="K32" i="4"/>
  <c r="K8" i="4"/>
  <c r="K12" i="4"/>
  <c r="K20" i="4"/>
  <c r="K26" i="4"/>
  <c r="K30" i="4"/>
  <c r="K9" i="4"/>
  <c r="K13" i="4"/>
  <c r="K17" i="4"/>
  <c r="K34" i="4"/>
  <c r="B15" i="9"/>
  <c r="K14" i="4"/>
  <c r="K22" i="4"/>
  <c r="K24" i="4"/>
  <c r="K28" i="4"/>
  <c r="B10" i="9"/>
  <c r="B9" i="9"/>
  <c r="B50" i="9"/>
  <c r="B51" i="9"/>
  <c r="B63" i="9"/>
  <c r="B11" i="9"/>
  <c r="B12" i="9"/>
  <c r="B13" i="9"/>
  <c r="H3" i="9"/>
  <c r="Q2" i="4"/>
  <c r="S6" i="4"/>
  <c r="D12" i="4"/>
  <c r="B38" i="9"/>
  <c r="B42" i="9"/>
  <c r="B39" i="9"/>
  <c r="B43" i="9"/>
  <c r="B41" i="9"/>
  <c r="B48" i="9"/>
  <c r="A19" i="4"/>
  <c r="H4" i="9" s="1"/>
  <c r="D91" i="9"/>
  <c r="A44" i="7" s="1"/>
  <c r="B70" i="9"/>
  <c r="B77" i="9"/>
  <c r="B11" i="10"/>
  <c r="B7" i="10"/>
  <c r="B10" i="10"/>
  <c r="B9" i="10"/>
  <c r="B8" i="10"/>
  <c r="B52" i="9"/>
  <c r="B49" i="9"/>
  <c r="C96" i="9"/>
  <c r="C98" i="9"/>
  <c r="C99" i="9"/>
  <c r="C97" i="9"/>
  <c r="C95" i="9"/>
  <c r="C100" i="9"/>
  <c r="E93" i="9"/>
  <c r="A47" i="7" s="1"/>
  <c r="S33" i="4"/>
  <c r="H22" i="4"/>
  <c r="I22" i="4" s="1"/>
  <c r="I19" i="4"/>
  <c r="S20" i="4"/>
  <c r="S32" i="4"/>
  <c r="I27" i="4"/>
  <c r="S9" i="4"/>
  <c r="S35" i="4"/>
  <c r="L17" i="4"/>
  <c r="S21" i="4"/>
  <c r="H17" i="4"/>
  <c r="I17" i="4" s="1"/>
  <c r="S29" i="4"/>
  <c r="L32" i="4"/>
  <c r="S34" i="4"/>
  <c r="Q1164" i="3"/>
  <c r="Q1032" i="3"/>
  <c r="R1032" i="3" s="1"/>
  <c r="Q396" i="3"/>
  <c r="R396" i="3" s="1"/>
  <c r="Q220" i="3"/>
  <c r="R220" i="3" s="1"/>
  <c r="Q62" i="3"/>
  <c r="R62" i="3" s="1"/>
  <c r="Q594" i="3"/>
  <c r="R594" i="3" s="1"/>
  <c r="Q566" i="3"/>
  <c r="R566" i="3" s="1"/>
  <c r="Q15" i="3"/>
  <c r="Q27" i="3"/>
  <c r="Q46" i="3"/>
  <c r="Q61" i="3"/>
  <c r="Q77" i="3"/>
  <c r="Q98" i="3"/>
  <c r="Q171" i="3"/>
  <c r="Q235" i="3"/>
  <c r="Q460" i="3"/>
  <c r="Q533" i="3"/>
  <c r="Q541" i="3"/>
  <c r="Q549" i="3"/>
  <c r="Q557" i="3"/>
  <c r="Q561" i="3"/>
  <c r="Q570" i="3"/>
  <c r="Q780" i="3"/>
  <c r="Q784" i="3"/>
  <c r="Q1063" i="3"/>
  <c r="Q1068" i="3"/>
  <c r="Q1073" i="3"/>
  <c r="Q1081" i="3"/>
  <c r="Q1085" i="3"/>
  <c r="Q1090" i="3"/>
  <c r="Q1094" i="3"/>
  <c r="Q1098" i="3"/>
  <c r="Q1103" i="3"/>
  <c r="Q1108" i="3"/>
  <c r="Q1112" i="3"/>
  <c r="Q1116" i="3"/>
  <c r="Q1120" i="3"/>
  <c r="Q1124" i="3"/>
  <c r="Q1128" i="3"/>
  <c r="Q1132" i="3"/>
  <c r="Q1136" i="3"/>
  <c r="Q1140" i="3"/>
  <c r="Q1148" i="3"/>
  <c r="Q1152" i="3"/>
  <c r="Q1156" i="3"/>
  <c r="Q1161" i="3"/>
  <c r="Q1167" i="3"/>
  <c r="Q1172" i="3"/>
  <c r="Q1177" i="3"/>
  <c r="Q1181" i="3"/>
  <c r="Q1185" i="3"/>
  <c r="Q1189" i="3"/>
  <c r="Q1193" i="3"/>
  <c r="I15" i="4"/>
  <c r="S15" i="4"/>
  <c r="S16" i="4"/>
  <c r="L18" i="4"/>
  <c r="S18" i="4"/>
  <c r="I23" i="4"/>
  <c r="S26" i="4"/>
  <c r="S28" i="4"/>
  <c r="S31" i="4"/>
  <c r="Q459" i="3"/>
  <c r="R459" i="3" s="1"/>
  <c r="Q1005" i="3"/>
  <c r="Q53" i="3"/>
  <c r="R53" i="3" s="1"/>
  <c r="Q309" i="3"/>
  <c r="R309" i="3" s="1"/>
  <c r="Q165" i="3"/>
  <c r="R165" i="3" s="1"/>
  <c r="Q817" i="3"/>
  <c r="R817" i="3" s="1"/>
  <c r="Q54" i="3"/>
  <c r="R54" i="3" s="1"/>
  <c r="Q1034" i="3"/>
  <c r="R1034" i="3" s="1"/>
  <c r="Q665" i="3"/>
  <c r="R665" i="3" s="1"/>
  <c r="Q427" i="3"/>
  <c r="R427" i="3" s="1"/>
  <c r="Q703" i="3"/>
  <c r="R703" i="3" s="1"/>
  <c r="Q1194" i="3"/>
  <c r="R1194" i="3" s="1"/>
  <c r="Q389" i="3"/>
  <c r="R389" i="3" s="1"/>
  <c r="Q211" i="3"/>
  <c r="R211" i="3" s="1"/>
  <c r="Q1008" i="3"/>
  <c r="R1008" i="3" s="1"/>
  <c r="Q424" i="3"/>
  <c r="R424" i="3" s="1"/>
  <c r="Q1173" i="3"/>
  <c r="R1173" i="3" s="1"/>
  <c r="Q147" i="3"/>
  <c r="R147" i="3" s="1"/>
  <c r="Q1168" i="3"/>
  <c r="R1168" i="3" s="1"/>
  <c r="Q5" i="3"/>
  <c r="Q8" i="3"/>
  <c r="Q12" i="3"/>
  <c r="Q16" i="3"/>
  <c r="Q20" i="3"/>
  <c r="Q24" i="3"/>
  <c r="Q28" i="3"/>
  <c r="Q32" i="3"/>
  <c r="Q36" i="3"/>
  <c r="Q40" i="3"/>
  <c r="Q47" i="3"/>
  <c r="Q51" i="3"/>
  <c r="Q58" i="3"/>
  <c r="Q64" i="3"/>
  <c r="Q67" i="3"/>
  <c r="Q71" i="3"/>
  <c r="Q74" i="3"/>
  <c r="Q78" i="3"/>
  <c r="Q82" i="3"/>
  <c r="Q224" i="3"/>
  <c r="Q355" i="3"/>
  <c r="Q361" i="3"/>
  <c r="Q365" i="3"/>
  <c r="Q418" i="3"/>
  <c r="Q422" i="3"/>
  <c r="Q428" i="3"/>
  <c r="Q435" i="3"/>
  <c r="Q439" i="3"/>
  <c r="Q444" i="3"/>
  <c r="Q448" i="3"/>
  <c r="Q522" i="3"/>
  <c r="Q526" i="3"/>
  <c r="Q530" i="3"/>
  <c r="Q587" i="3"/>
  <c r="Q591" i="3"/>
  <c r="Q596" i="3"/>
  <c r="Q600" i="3"/>
  <c r="Q604" i="3"/>
  <c r="Q609" i="3"/>
  <c r="Q613" i="3"/>
  <c r="Q617" i="3"/>
  <c r="Q621" i="3"/>
  <c r="Q626" i="3"/>
  <c r="Q630" i="3"/>
  <c r="Q634" i="3"/>
  <c r="Q638" i="3"/>
  <c r="Q642" i="3"/>
  <c r="Q647" i="3"/>
  <c r="Q651" i="3"/>
  <c r="Q655" i="3"/>
  <c r="Q659" i="3"/>
  <c r="Q663" i="3"/>
  <c r="Q668" i="3"/>
  <c r="Q672" i="3"/>
  <c r="Q676" i="3"/>
  <c r="Q680" i="3"/>
  <c r="Q684" i="3"/>
  <c r="Q688" i="3"/>
  <c r="Q692" i="3"/>
  <c r="Q696" i="3"/>
  <c r="Q700" i="3"/>
  <c r="Q706" i="3"/>
  <c r="Q710" i="3"/>
  <c r="Q714" i="3"/>
  <c r="Q719" i="3"/>
  <c r="Q723" i="3"/>
  <c r="Q727" i="3"/>
  <c r="Q731" i="3"/>
  <c r="Q735" i="3"/>
  <c r="Q739" i="3"/>
  <c r="Q743" i="3"/>
  <c r="Q748" i="3"/>
  <c r="Q752" i="3"/>
  <c r="Q756" i="3"/>
  <c r="Q761" i="3"/>
  <c r="Q765" i="3"/>
  <c r="Q769" i="3"/>
  <c r="Q773" i="3"/>
  <c r="Q777" i="3"/>
  <c r="Q974" i="3"/>
  <c r="Q978" i="3"/>
  <c r="Q982" i="3"/>
  <c r="Q986" i="3"/>
  <c r="Q993" i="3"/>
  <c r="Q997" i="3"/>
  <c r="Q1001" i="3"/>
  <c r="Q1006" i="3"/>
  <c r="Q1011" i="3"/>
  <c r="Q1015" i="3"/>
  <c r="Q1019" i="3"/>
  <c r="Q1023" i="3"/>
  <c r="Q1029" i="3"/>
  <c r="Q1036" i="3"/>
  <c r="Q1040" i="3"/>
  <c r="Q1044" i="3"/>
  <c r="Q1048" i="3"/>
  <c r="Q1052" i="3"/>
  <c r="Q1056" i="3"/>
  <c r="Q1060" i="3"/>
  <c r="Q335" i="3"/>
  <c r="R335" i="3" s="1"/>
  <c r="Q356" i="3"/>
  <c r="R356" i="3" s="1"/>
  <c r="Q923" i="3"/>
  <c r="R923" i="3" s="1"/>
  <c r="Q869" i="3"/>
  <c r="R869" i="3" s="1"/>
  <c r="Q121" i="3"/>
  <c r="R121" i="3" s="1"/>
  <c r="Q7" i="3"/>
  <c r="Q19" i="3"/>
  <c r="Q31" i="3"/>
  <c r="Q43" i="3"/>
  <c r="Q57" i="3"/>
  <c r="Q85" i="3"/>
  <c r="Q93" i="3"/>
  <c r="Q106" i="3"/>
  <c r="Q114" i="3"/>
  <c r="Q122" i="3"/>
  <c r="Q130" i="3"/>
  <c r="Q143" i="3"/>
  <c r="Q149" i="3"/>
  <c r="Q157" i="3"/>
  <c r="Q161" i="3"/>
  <c r="Q166" i="3"/>
  <c r="Q231" i="3"/>
  <c r="Q239" i="3"/>
  <c r="Q368" i="3"/>
  <c r="Q455" i="3"/>
  <c r="Q464" i="3"/>
  <c r="Q537" i="3"/>
  <c r="Q545" i="3"/>
  <c r="Q553" i="3"/>
  <c r="Q565" i="3"/>
  <c r="Q1077" i="3"/>
  <c r="Q1144" i="3"/>
  <c r="H8" i="4"/>
  <c r="I8" i="4" s="1"/>
  <c r="L11" i="4"/>
  <c r="Q1102" i="3"/>
  <c r="R1102" i="3" s="1"/>
  <c r="Q870" i="3"/>
  <c r="R870" i="3" s="1"/>
  <c r="Q405" i="3"/>
  <c r="R405" i="3" s="1"/>
  <c r="Q1158" i="3"/>
  <c r="R1158" i="3" s="1"/>
  <c r="Q63" i="3"/>
  <c r="R63" i="3" s="1"/>
  <c r="Q951" i="3"/>
  <c r="R951" i="3" s="1"/>
  <c r="Q410" i="3"/>
  <c r="R410" i="3" s="1"/>
  <c r="Q216" i="3"/>
  <c r="R216" i="3" s="1"/>
  <c r="Q1027" i="3"/>
  <c r="R1027" i="3" s="1"/>
  <c r="Q842" i="3"/>
  <c r="R842" i="3" s="1"/>
  <c r="Q441" i="3"/>
  <c r="R441" i="3" s="1"/>
  <c r="Q939" i="3"/>
  <c r="R939" i="3" s="1"/>
  <c r="Q370" i="3"/>
  <c r="R370" i="3" s="1"/>
  <c r="Q853" i="3"/>
  <c r="R853" i="3" s="1"/>
  <c r="Q1105" i="3"/>
  <c r="R1105" i="3" s="1"/>
  <c r="Q76" i="3"/>
  <c r="R76" i="3" s="1"/>
  <c r="Q1067" i="3"/>
  <c r="R1067" i="3" s="1"/>
  <c r="Q52" i="3"/>
  <c r="R52" i="3" s="1"/>
  <c r="Q3" i="3"/>
  <c r="Q9" i="3"/>
  <c r="Q13" i="3"/>
  <c r="Q17" i="3"/>
  <c r="Q21" i="3"/>
  <c r="Q25" i="3"/>
  <c r="Q29" i="3"/>
  <c r="Q33" i="3"/>
  <c r="Q37" i="3"/>
  <c r="Q41" i="3"/>
  <c r="Q48" i="3"/>
  <c r="Q55" i="3"/>
  <c r="Q59" i="3"/>
  <c r="Q65" i="3"/>
  <c r="Q68" i="3"/>
  <c r="Q72" i="3"/>
  <c r="Q79" i="3"/>
  <c r="Q83" i="3"/>
  <c r="Q87" i="3"/>
  <c r="Q91" i="3"/>
  <c r="Q95" i="3"/>
  <c r="Q100" i="3"/>
  <c r="Q104" i="3"/>
  <c r="Q108" i="3"/>
  <c r="Q112" i="3"/>
  <c r="Q193" i="3"/>
  <c r="Q197" i="3"/>
  <c r="Q201" i="3"/>
  <c r="Q205" i="3"/>
  <c r="Q209" i="3"/>
  <c r="Q214" i="3"/>
  <c r="Q334" i="3"/>
  <c r="Q339" i="3"/>
  <c r="Q344" i="3"/>
  <c r="Q348" i="3"/>
  <c r="Q352" i="3"/>
  <c r="Q401" i="3"/>
  <c r="Q406" i="3"/>
  <c r="Q411" i="3"/>
  <c r="Q415" i="3"/>
  <c r="Q486" i="3"/>
  <c r="Q490" i="3"/>
  <c r="Q495" i="3"/>
  <c r="Q502" i="3"/>
  <c r="Q506" i="3"/>
  <c r="Q510" i="3"/>
  <c r="Q514" i="3"/>
  <c r="Q576" i="3"/>
  <c r="Q580" i="3"/>
  <c r="Q584" i="3"/>
  <c r="Q822" i="3"/>
  <c r="Q826" i="3"/>
  <c r="Q830" i="3"/>
  <c r="Q834" i="3"/>
  <c r="Q838" i="3"/>
  <c r="Q843" i="3"/>
  <c r="Q847" i="3"/>
  <c r="Q851" i="3"/>
  <c r="Q856" i="3"/>
  <c r="Q860" i="3"/>
  <c r="Q864" i="3"/>
  <c r="Q868" i="3"/>
  <c r="Q874" i="3"/>
  <c r="Q880" i="3"/>
  <c r="Q884" i="3"/>
  <c r="Q888" i="3"/>
  <c r="Q892" i="3"/>
  <c r="Q898" i="3"/>
  <c r="Q902" i="3"/>
  <c r="Q907" i="3"/>
  <c r="Q911" i="3"/>
  <c r="Q915" i="3"/>
  <c r="Q919" i="3"/>
  <c r="Q924" i="3"/>
  <c r="Q928" i="3"/>
  <c r="Q932" i="3"/>
  <c r="Q936" i="3"/>
  <c r="Q941" i="3"/>
  <c r="Q945" i="3"/>
  <c r="Q949" i="3"/>
  <c r="Q954" i="3"/>
  <c r="Q958" i="3"/>
  <c r="Q962" i="3"/>
  <c r="Q966" i="3"/>
  <c r="Q970" i="3"/>
  <c r="Q897" i="3"/>
  <c r="R897" i="3" s="1"/>
  <c r="Q705" i="3"/>
  <c r="R705" i="3" s="1"/>
  <c r="Q716" i="3"/>
  <c r="R716" i="3" s="1"/>
  <c r="Q744" i="3"/>
  <c r="R744" i="3" s="1"/>
  <c r="Q877" i="3"/>
  <c r="R877" i="3" s="1"/>
  <c r="Q167" i="3"/>
  <c r="R167" i="3" s="1"/>
  <c r="Q1089" i="3"/>
  <c r="R1089" i="3" s="1"/>
  <c r="Q11" i="3"/>
  <c r="Q23" i="3"/>
  <c r="Q35" i="3"/>
  <c r="Q39" i="3"/>
  <c r="Q50" i="3"/>
  <c r="Q70" i="3"/>
  <c r="Q81" i="3"/>
  <c r="Q89" i="3"/>
  <c r="Q102" i="3"/>
  <c r="Q110" i="3"/>
  <c r="Q117" i="3"/>
  <c r="Q126" i="3"/>
  <c r="Q137" i="3"/>
  <c r="Q153" i="3"/>
  <c r="S7" i="4"/>
  <c r="L10" i="4"/>
  <c r="S10" i="4"/>
  <c r="L12" i="4"/>
  <c r="S24" i="4"/>
  <c r="I25" i="4"/>
  <c r="S30" i="4"/>
  <c r="Q1166" i="3"/>
  <c r="R1166" i="3" s="1"/>
  <c r="Q971" i="3"/>
  <c r="R971" i="3" s="1"/>
  <c r="Q219" i="3"/>
  <c r="R219" i="3" s="1"/>
  <c r="Q623" i="3"/>
  <c r="Q518" i="3"/>
  <c r="R518" i="3" s="1"/>
  <c r="Q896" i="3"/>
  <c r="R896" i="3" s="1"/>
  <c r="Q493" i="3"/>
  <c r="R493" i="3" s="1"/>
  <c r="Q342" i="3"/>
  <c r="R342" i="3" s="1"/>
  <c r="Q1033" i="3"/>
  <c r="R1033" i="3" s="1"/>
  <c r="Q96" i="3"/>
  <c r="R96" i="3" s="1"/>
  <c r="Q145" i="3"/>
  <c r="R145" i="3" s="1"/>
  <c r="Q1069" i="3"/>
  <c r="R1069" i="3" s="1"/>
  <c r="Q878" i="3"/>
  <c r="R878" i="3" s="1"/>
  <c r="Q357" i="3"/>
  <c r="Q1025" i="3"/>
  <c r="R1025" i="3" s="1"/>
  <c r="Q758" i="3"/>
  <c r="R758" i="3" s="1"/>
  <c r="Q644" i="3"/>
  <c r="R644" i="3" s="1"/>
  <c r="Q10" i="3"/>
  <c r="R10" i="3" s="1"/>
  <c r="Q14" i="3"/>
  <c r="Q18" i="3"/>
  <c r="Q22" i="3"/>
  <c r="R22" i="3" s="1"/>
  <c r="Q26" i="3"/>
  <c r="R26" i="3" s="1"/>
  <c r="Q30" i="3"/>
  <c r="Q34" i="3"/>
  <c r="Q38" i="3"/>
  <c r="R38" i="3" s="1"/>
  <c r="Q42" i="3"/>
  <c r="R42" i="3" s="1"/>
  <c r="Q45" i="3"/>
  <c r="Q49" i="3"/>
  <c r="Q56" i="3"/>
  <c r="R56" i="3" s="1"/>
  <c r="Q60" i="3"/>
  <c r="R60" i="3" s="1"/>
  <c r="Q69" i="3"/>
  <c r="Q80" i="3"/>
  <c r="Q84" i="3"/>
  <c r="R84" i="3" s="1"/>
  <c r="Q88" i="3"/>
  <c r="Q92" i="3"/>
  <c r="Q97" i="3"/>
  <c r="Q101" i="3"/>
  <c r="Q105" i="3"/>
  <c r="Q109" i="3"/>
  <c r="Q113" i="3"/>
  <c r="Q116" i="3"/>
  <c r="Q120" i="3"/>
  <c r="Q125" i="3"/>
  <c r="Q129" i="3"/>
  <c r="Q136" i="3"/>
  <c r="Q148" i="3"/>
  <c r="Q152" i="3"/>
  <c r="Q156" i="3"/>
  <c r="Q160" i="3"/>
  <c r="Q164" i="3"/>
  <c r="Q170" i="3"/>
  <c r="Q174" i="3"/>
  <c r="Q178" i="3"/>
  <c r="Q182" i="3"/>
  <c r="Q186" i="3"/>
  <c r="Q190" i="3"/>
  <c r="Q243" i="3"/>
  <c r="Q247" i="3"/>
  <c r="Q251" i="3"/>
  <c r="Q255" i="3"/>
  <c r="Q259" i="3"/>
  <c r="Q263" i="3"/>
  <c r="Q267" i="3"/>
  <c r="Q271" i="3"/>
  <c r="Q275" i="3"/>
  <c r="Q279" i="3"/>
  <c r="Q286" i="3"/>
  <c r="Q290" i="3"/>
  <c r="Q294" i="3"/>
  <c r="Q298" i="3"/>
  <c r="Q302" i="3"/>
  <c r="Q306" i="3"/>
  <c r="Q311" i="3"/>
  <c r="Q315" i="3"/>
  <c r="Q319" i="3"/>
  <c r="Q323" i="3"/>
  <c r="Q327" i="3"/>
  <c r="Q372" i="3"/>
  <c r="Q376" i="3"/>
  <c r="Q380" i="3"/>
  <c r="Q384" i="3"/>
  <c r="Q388" i="3"/>
  <c r="Q393" i="3"/>
  <c r="Q467" i="3"/>
  <c r="Q471" i="3"/>
  <c r="Q475" i="3"/>
  <c r="Q479" i="3"/>
  <c r="Q483" i="3"/>
  <c r="Q573" i="3"/>
  <c r="Q787" i="3"/>
  <c r="Q791" i="3"/>
  <c r="Q795" i="3"/>
  <c r="Q799" i="3"/>
  <c r="Q803" i="3"/>
  <c r="Q807" i="3"/>
  <c r="Q814" i="3"/>
  <c r="Q175" i="3"/>
  <c r="Q179" i="3"/>
  <c r="Q183" i="3"/>
  <c r="Q187" i="3"/>
  <c r="Q194" i="3"/>
  <c r="Q198" i="3"/>
  <c r="Q202" i="3"/>
  <c r="Q206" i="3"/>
  <c r="Q210" i="3"/>
  <c r="Q215" i="3"/>
  <c r="Q225" i="3"/>
  <c r="Q232" i="3"/>
  <c r="Q236" i="3"/>
  <c r="Q241" i="3"/>
  <c r="Q244" i="3"/>
  <c r="Q248" i="3"/>
  <c r="Q252" i="3"/>
  <c r="Q256" i="3"/>
  <c r="Q260" i="3"/>
  <c r="Q264" i="3"/>
  <c r="Q268" i="3"/>
  <c r="Q272" i="3"/>
  <c r="Q276" i="3"/>
  <c r="Q280" i="3"/>
  <c r="Q283" i="3"/>
  <c r="Q287" i="3"/>
  <c r="Q291" i="3"/>
  <c r="Q295" i="3"/>
  <c r="Q299" i="3"/>
  <c r="Q303" i="3"/>
  <c r="Q307" i="3"/>
  <c r="Q312" i="3"/>
  <c r="Q316" i="3"/>
  <c r="Q320" i="3"/>
  <c r="Q324" i="3"/>
  <c r="Q328" i="3"/>
  <c r="Q336" i="3"/>
  <c r="Q340" i="3"/>
  <c r="Q345" i="3"/>
  <c r="Q349" i="3"/>
  <c r="Q358" i="3"/>
  <c r="Q362" i="3"/>
  <c r="Q366" i="3"/>
  <c r="Q369" i="3"/>
  <c r="Q373" i="3"/>
  <c r="Q377" i="3"/>
  <c r="Q381" i="3"/>
  <c r="Q385" i="3"/>
  <c r="Q390" i="3"/>
  <c r="Q394" i="3"/>
  <c r="Q402" i="3"/>
  <c r="Q407" i="3"/>
  <c r="Q412" i="3"/>
  <c r="Q416" i="3"/>
  <c r="Q419" i="3"/>
  <c r="Q423" i="3"/>
  <c r="Q429" i="3"/>
  <c r="Q432" i="3"/>
  <c r="Q436" i="3"/>
  <c r="Q440" i="3"/>
  <c r="Q445" i="3"/>
  <c r="Q449" i="3"/>
  <c r="Q456" i="3"/>
  <c r="Q461" i="3"/>
  <c r="Q468" i="3"/>
  <c r="Q472" i="3"/>
  <c r="Q476" i="3"/>
  <c r="Q480" i="3"/>
  <c r="Q484" i="3"/>
  <c r="Q487" i="3"/>
  <c r="Q491" i="3"/>
  <c r="Q496" i="3"/>
  <c r="Q499" i="3"/>
  <c r="Q503" i="3"/>
  <c r="Q507" i="3"/>
  <c r="Q511" i="3"/>
  <c r="Q515" i="3"/>
  <c r="Q523" i="3"/>
  <c r="Q527" i="3"/>
  <c r="Q534" i="3"/>
  <c r="Q538" i="3"/>
  <c r="Q542" i="3"/>
  <c r="Q546" i="3"/>
  <c r="Q550" i="3"/>
  <c r="Q554" i="3"/>
  <c r="Q558" i="3"/>
  <c r="Q562" i="3"/>
  <c r="Q567" i="3"/>
  <c r="Q574" i="3"/>
  <c r="Q577" i="3"/>
  <c r="Q581" i="3"/>
  <c r="Q588" i="3"/>
  <c r="Q592" i="3"/>
  <c r="Q597" i="3"/>
  <c r="Q601" i="3"/>
  <c r="Q605" i="3"/>
  <c r="Q610" i="3"/>
  <c r="Q614" i="3"/>
  <c r="Q618" i="3"/>
  <c r="Q622" i="3"/>
  <c r="Q627" i="3"/>
  <c r="Q631" i="3"/>
  <c r="Q635" i="3"/>
  <c r="Q639" i="3"/>
  <c r="Q643" i="3"/>
  <c r="Q240" i="3"/>
  <c r="Q652" i="3"/>
  <c r="Q656" i="3"/>
  <c r="Q660" i="3"/>
  <c r="Q664" i="3"/>
  <c r="Q669" i="3"/>
  <c r="Q673" i="3"/>
  <c r="Q677" i="3"/>
  <c r="Q681" i="3"/>
  <c r="Q685" i="3"/>
  <c r="Q689" i="3"/>
  <c r="Q693" i="3"/>
  <c r="Q697" i="3"/>
  <c r="Q701" i="3"/>
  <c r="Q707" i="3"/>
  <c r="Q711" i="3"/>
  <c r="Q715" i="3"/>
  <c r="Q720" i="3"/>
  <c r="Q724" i="3"/>
  <c r="Q728" i="3"/>
  <c r="Q732" i="3"/>
  <c r="Q736" i="3"/>
  <c r="Q740" i="3"/>
  <c r="Q745" i="3"/>
  <c r="Q749" i="3"/>
  <c r="Q753" i="3"/>
  <c r="Q757" i="3"/>
  <c r="Q762" i="3"/>
  <c r="Q766" i="3"/>
  <c r="Q770" i="3"/>
  <c r="Q774" i="3"/>
  <c r="Q781" i="3"/>
  <c r="Q785" i="3"/>
  <c r="Q788" i="3"/>
  <c r="Q792" i="3"/>
  <c r="Q796" i="3"/>
  <c r="Q800" i="3"/>
  <c r="Q804" i="3"/>
  <c r="Q808" i="3"/>
  <c r="Q811" i="3"/>
  <c r="Q815" i="3"/>
  <c r="Q823" i="3"/>
  <c r="Q827" i="3"/>
  <c r="Q831" i="3"/>
  <c r="Q835" i="3"/>
  <c r="Q839" i="3"/>
  <c r="Q844" i="3"/>
  <c r="Q848" i="3"/>
  <c r="Q852" i="3"/>
  <c r="Q857" i="3"/>
  <c r="Q861" i="3"/>
  <c r="Q865" i="3"/>
  <c r="Q871" i="3"/>
  <c r="Q875" i="3"/>
  <c r="Q881" i="3"/>
  <c r="Q885" i="3"/>
  <c r="Q889" i="3"/>
  <c r="Q893" i="3"/>
  <c r="Q899" i="3"/>
  <c r="Q904" i="3"/>
  <c r="Q908" i="3"/>
  <c r="Q912" i="3"/>
  <c r="Q916" i="3"/>
  <c r="Q920" i="3"/>
  <c r="Q925" i="3"/>
  <c r="Q929" i="3"/>
  <c r="Q933" i="3"/>
  <c r="Q937" i="3"/>
  <c r="Q942" i="3"/>
  <c r="Q946" i="3"/>
  <c r="Q950" i="3"/>
  <c r="Q955" i="3"/>
  <c r="Q959" i="3"/>
  <c r="Q963" i="3"/>
  <c r="Q967" i="3"/>
  <c r="Q972" i="3"/>
  <c r="Q975" i="3"/>
  <c r="Q979" i="3"/>
  <c r="Q983" i="3"/>
  <c r="Q987" i="3"/>
  <c r="Q990" i="3"/>
  <c r="Q994" i="3"/>
  <c r="Q998" i="3"/>
  <c r="Q1002" i="3"/>
  <c r="Q1007" i="3"/>
  <c r="Q1012" i="3"/>
  <c r="Q1016" i="3"/>
  <c r="Q1020" i="3"/>
  <c r="Q1024" i="3"/>
  <c r="Q1030" i="3"/>
  <c r="Q1037" i="3"/>
  <c r="Q1041" i="3"/>
  <c r="Q1045" i="3"/>
  <c r="Q1049" i="3"/>
  <c r="Q1053" i="3"/>
  <c r="Q1057" i="3"/>
  <c r="Q1061" i="3"/>
  <c r="Q1064" i="3"/>
  <c r="Q1070" i="3"/>
  <c r="Q1074" i="3"/>
  <c r="Q1078" i="3"/>
  <c r="Q1082" i="3"/>
  <c r="Q1086" i="3"/>
  <c r="Q1091" i="3"/>
  <c r="Q1095" i="3"/>
  <c r="Q1099" i="3"/>
  <c r="Q1104" i="3"/>
  <c r="Q1109" i="3"/>
  <c r="Q1113" i="3"/>
  <c r="Q1117" i="3"/>
  <c r="Q1121" i="3"/>
  <c r="Q1125" i="3"/>
  <c r="Q1129" i="3"/>
  <c r="Q1133" i="3"/>
  <c r="Q1137" i="3"/>
  <c r="Q1141" i="3"/>
  <c r="Q1145" i="3"/>
  <c r="Q1149" i="3"/>
  <c r="Q1153" i="3"/>
  <c r="Q1157" i="3"/>
  <c r="Q1162" i="3"/>
  <c r="Q1169" i="3"/>
  <c r="Q1174" i="3"/>
  <c r="Q1178" i="3"/>
  <c r="Q1182" i="3"/>
  <c r="Q1186" i="3"/>
  <c r="Q1190" i="3"/>
  <c r="Q1196" i="3"/>
  <c r="Q86" i="3"/>
  <c r="R86" i="3" s="1"/>
  <c r="Q90" i="3"/>
  <c r="Q94" i="3"/>
  <c r="Q99" i="3"/>
  <c r="Q103" i="3"/>
  <c r="Q107" i="3"/>
  <c r="Q111" i="3"/>
  <c r="Q118" i="3"/>
  <c r="R118" i="3" s="1"/>
  <c r="Q123" i="3"/>
  <c r="Q127" i="3"/>
  <c r="Q131" i="3"/>
  <c r="Q134" i="3"/>
  <c r="Q138" i="3"/>
  <c r="Q141" i="3"/>
  <c r="Q144" i="3"/>
  <c r="Q150" i="3"/>
  <c r="Q154" i="3"/>
  <c r="Q158" i="3"/>
  <c r="Q162" i="3"/>
  <c r="Q168" i="3"/>
  <c r="Q172" i="3"/>
  <c r="Q176" i="3"/>
  <c r="Q180" i="3"/>
  <c r="Q184" i="3"/>
  <c r="Q188" i="3"/>
  <c r="Q195" i="3"/>
  <c r="Q199" i="3"/>
  <c r="Q203" i="3"/>
  <c r="Q207" i="3"/>
  <c r="Q212" i="3"/>
  <c r="Q217" i="3"/>
  <c r="Q222" i="3"/>
  <c r="Q226" i="3"/>
  <c r="Q229" i="3"/>
  <c r="Q233" i="3"/>
  <c r="Q237" i="3"/>
  <c r="Q245" i="3"/>
  <c r="Q249" i="3"/>
  <c r="Q253" i="3"/>
  <c r="Q257" i="3"/>
  <c r="Q261" i="3"/>
  <c r="Q265" i="3"/>
  <c r="Q269" i="3"/>
  <c r="Q273" i="3"/>
  <c r="Q277" i="3"/>
  <c r="Q281" i="3"/>
  <c r="Q284" i="3"/>
  <c r="Q288" i="3"/>
  <c r="Q292" i="3"/>
  <c r="Q296" i="3"/>
  <c r="Q300" i="3"/>
  <c r="Q304" i="3"/>
  <c r="Q308" i="3"/>
  <c r="Q313" i="3"/>
  <c r="Q317" i="3"/>
  <c r="Q321" i="3"/>
  <c r="Q325" i="3"/>
  <c r="Q329" i="3"/>
  <c r="Q332" i="3"/>
  <c r="Q337" i="3"/>
  <c r="Q341" i="3"/>
  <c r="Q346" i="3"/>
  <c r="Q350" i="3"/>
  <c r="Q359" i="3"/>
  <c r="Q363" i="3"/>
  <c r="Q374" i="3"/>
  <c r="Q378" i="3"/>
  <c r="Q382" i="3"/>
  <c r="Q386" i="3"/>
  <c r="Q391" i="3"/>
  <c r="Q395" i="3"/>
  <c r="Q399" i="3"/>
  <c r="Q403" i="3"/>
  <c r="Q408" i="3"/>
  <c r="Q413" i="3"/>
  <c r="Q420" i="3"/>
  <c r="Q425" i="3"/>
  <c r="Q430" i="3"/>
  <c r="Q433" i="3"/>
  <c r="Q437" i="3"/>
  <c r="Q442" i="3"/>
  <c r="Q446" i="3"/>
  <c r="Q450" i="3"/>
  <c r="Q453" i="3"/>
  <c r="Q457" i="3"/>
  <c r="Q462" i="3"/>
  <c r="Q469" i="3"/>
  <c r="Q473" i="3"/>
  <c r="Q477" i="3"/>
  <c r="Q481" i="3"/>
  <c r="Q488" i="3"/>
  <c r="Q492" i="3"/>
  <c r="Q497" i="3"/>
  <c r="Q500" i="3"/>
  <c r="Q504" i="3"/>
  <c r="Q508" i="3"/>
  <c r="Q512" i="3"/>
  <c r="Q516" i="3"/>
  <c r="Q520" i="3"/>
  <c r="Q524" i="3"/>
  <c r="Q528" i="3"/>
  <c r="Q535" i="3"/>
  <c r="Q539" i="3"/>
  <c r="Q543" i="3"/>
  <c r="Q547" i="3"/>
  <c r="Q551" i="3"/>
  <c r="Q555" i="3"/>
  <c r="Q559" i="3"/>
  <c r="Q563" i="3"/>
  <c r="Q568" i="3"/>
  <c r="Q578" i="3"/>
  <c r="Q582" i="3"/>
  <c r="Q589" i="3"/>
  <c r="Q593" i="3"/>
  <c r="Q598" i="3"/>
  <c r="Q602" i="3"/>
  <c r="Q606" i="3"/>
  <c r="Q611" i="3"/>
  <c r="Q615" i="3"/>
  <c r="Q619" i="3"/>
  <c r="Q624" i="3"/>
  <c r="Q628" i="3"/>
  <c r="Q632" i="3"/>
  <c r="Q636" i="3"/>
  <c r="Q640" i="3"/>
  <c r="Q645" i="3"/>
  <c r="Q653" i="3"/>
  <c r="Q657" i="3"/>
  <c r="Q661" i="3"/>
  <c r="Q666" i="3"/>
  <c r="Q670" i="3"/>
  <c r="Q674" i="3"/>
  <c r="Q678" i="3"/>
  <c r="Q682" i="3"/>
  <c r="Q686" i="3"/>
  <c r="Q690" i="3"/>
  <c r="Q694" i="3"/>
  <c r="Q698" i="3"/>
  <c r="Q702" i="3"/>
  <c r="Q708" i="3"/>
  <c r="Q712" i="3"/>
  <c r="Q717" i="3"/>
  <c r="Q721" i="3"/>
  <c r="Q725" i="3"/>
  <c r="Q729" i="3"/>
  <c r="Q733" i="3"/>
  <c r="Q737" i="3"/>
  <c r="Q741" i="3"/>
  <c r="Q746" i="3"/>
  <c r="Q750" i="3"/>
  <c r="Q754" i="3"/>
  <c r="Q759" i="3"/>
  <c r="Q763" i="3"/>
  <c r="Q767" i="3"/>
  <c r="Q771" i="3"/>
  <c r="Q775" i="3"/>
  <c r="Q782" i="3"/>
  <c r="Q789" i="3"/>
  <c r="Q793" i="3"/>
  <c r="Q797" i="3"/>
  <c r="Q801" i="3"/>
  <c r="Q805" i="3"/>
  <c r="Q809" i="3"/>
  <c r="Q812" i="3"/>
  <c r="Q816" i="3"/>
  <c r="Q820" i="3"/>
  <c r="Q824" i="3"/>
  <c r="Q828" i="3"/>
  <c r="Q832" i="3"/>
  <c r="Q836" i="3"/>
  <c r="Q840" i="3"/>
  <c r="Q845" i="3"/>
  <c r="Q849" i="3"/>
  <c r="Q854" i="3"/>
  <c r="Q858" i="3"/>
  <c r="Q862" i="3"/>
  <c r="Q866" i="3"/>
  <c r="Q872" i="3"/>
  <c r="Q876" i="3"/>
  <c r="Q882" i="3"/>
  <c r="Q886" i="3"/>
  <c r="Q890" i="3"/>
  <c r="Q894" i="3"/>
  <c r="Q900" i="3"/>
  <c r="Q905" i="3"/>
  <c r="Q909" i="3"/>
  <c r="Q913" i="3"/>
  <c r="Q917" i="3"/>
  <c r="Q921" i="3"/>
  <c r="Q926" i="3"/>
  <c r="Q930" i="3"/>
  <c r="Q934" i="3"/>
  <c r="Q938" i="3"/>
  <c r="Q943" i="3"/>
  <c r="Q947" i="3"/>
  <c r="Q952" i="3"/>
  <c r="Q956" i="3"/>
  <c r="Q960" i="3"/>
  <c r="Q964" i="3"/>
  <c r="Q968" i="3"/>
  <c r="Q976" i="3"/>
  <c r="Q980" i="3"/>
  <c r="Q984" i="3"/>
  <c r="Q988" i="3"/>
  <c r="Q991" i="3"/>
  <c r="Q995" i="3"/>
  <c r="Q999" i="3"/>
  <c r="Q1003" i="3"/>
  <c r="Q1009" i="3"/>
  <c r="Q1013" i="3"/>
  <c r="Q1017" i="3"/>
  <c r="Q1021" i="3"/>
  <c r="Q1026" i="3"/>
  <c r="Q1031" i="3"/>
  <c r="Q1038" i="3"/>
  <c r="Q1042" i="3"/>
  <c r="Q1046" i="3"/>
  <c r="Q1050" i="3"/>
  <c r="Q1054" i="3"/>
  <c r="Q1058" i="3"/>
  <c r="Q1065" i="3"/>
  <c r="Q1071" i="3"/>
  <c r="Q1075" i="3"/>
  <c r="Q1079" i="3"/>
  <c r="Q1083" i="3"/>
  <c r="Q1087" i="3"/>
  <c r="Q1092" i="3"/>
  <c r="Q1096" i="3"/>
  <c r="Q1100" i="3"/>
  <c r="Q1106" i="3"/>
  <c r="Q1110" i="3"/>
  <c r="Q1114" i="3"/>
  <c r="Q1118" i="3"/>
  <c r="Q1122" i="3"/>
  <c r="Q1126" i="3"/>
  <c r="Q1130" i="3"/>
  <c r="Q1134" i="3"/>
  <c r="Q1138" i="3"/>
  <c r="Q1142" i="3"/>
  <c r="Q1146" i="3"/>
  <c r="Q1150" i="3"/>
  <c r="Q1154" i="3"/>
  <c r="Q1159" i="3"/>
  <c r="Q1163" i="3"/>
  <c r="Q1170" i="3"/>
  <c r="Q1175" i="3"/>
  <c r="Q1179" i="3"/>
  <c r="Q1183" i="3"/>
  <c r="Q1187" i="3"/>
  <c r="Q1191" i="3"/>
  <c r="Q1197" i="3"/>
  <c r="R1197" i="3" s="1"/>
  <c r="Q119" i="3"/>
  <c r="R119" i="3" s="1"/>
  <c r="Q124" i="3"/>
  <c r="Q128" i="3"/>
  <c r="Q132" i="3"/>
  <c r="Q135" i="3"/>
  <c r="R135" i="3" s="1"/>
  <c r="Q139" i="3"/>
  <c r="Q146" i="3"/>
  <c r="Q151" i="3"/>
  <c r="Q155" i="3"/>
  <c r="R155" i="3" s="1"/>
  <c r="Q159" i="3"/>
  <c r="Q163" i="3"/>
  <c r="Q169" i="3"/>
  <c r="Q173" i="3"/>
  <c r="R173" i="3" s="1"/>
  <c r="Q177" i="3"/>
  <c r="Q181" i="3"/>
  <c r="Q185" i="3"/>
  <c r="Q189" i="3"/>
  <c r="R189" i="3" s="1"/>
  <c r="Q192" i="3"/>
  <c r="Q196" i="3"/>
  <c r="Q200" i="3"/>
  <c r="Q204" i="3"/>
  <c r="R204" i="3" s="1"/>
  <c r="Q208" i="3"/>
  <c r="Q213" i="3"/>
  <c r="Q218" i="3"/>
  <c r="Q223" i="3"/>
  <c r="R223" i="3" s="1"/>
  <c r="Q227" i="3"/>
  <c r="Q230" i="3"/>
  <c r="Q234" i="3"/>
  <c r="Q238" i="3"/>
  <c r="R238" i="3" s="1"/>
  <c r="Q246" i="3"/>
  <c r="Q250" i="3"/>
  <c r="Q254" i="3"/>
  <c r="Q258" i="3"/>
  <c r="R258" i="3" s="1"/>
  <c r="Q262" i="3"/>
  <c r="Q266" i="3"/>
  <c r="Q270" i="3"/>
  <c r="Q274" i="3"/>
  <c r="R274" i="3" s="1"/>
  <c r="Q278" i="3"/>
  <c r="Q285" i="3"/>
  <c r="Q289" i="3"/>
  <c r="Q293" i="3"/>
  <c r="R293" i="3" s="1"/>
  <c r="Q297" i="3"/>
  <c r="Q301" i="3"/>
  <c r="Q305" i="3"/>
  <c r="Q310" i="3"/>
  <c r="R310" i="3" s="1"/>
  <c r="Q314" i="3"/>
  <c r="Q318" i="3"/>
  <c r="Q322" i="3"/>
  <c r="Q326" i="3"/>
  <c r="R326" i="3" s="1"/>
  <c r="Q330" i="3"/>
  <c r="Q333" i="3"/>
  <c r="Q338" i="3"/>
  <c r="Q343" i="3"/>
  <c r="R343" i="3" s="1"/>
  <c r="Q347" i="3"/>
  <c r="Q351" i="3"/>
  <c r="Q354" i="3"/>
  <c r="Q360" i="3"/>
  <c r="R360" i="3" s="1"/>
  <c r="Q364" i="3"/>
  <c r="Q375" i="3"/>
  <c r="Q379" i="3"/>
  <c r="Q383" i="3"/>
  <c r="R383" i="3" s="1"/>
  <c r="Q387" i="3"/>
  <c r="Q392" i="3"/>
  <c r="Q397" i="3"/>
  <c r="Q400" i="3"/>
  <c r="R400" i="3" s="1"/>
  <c r="Q404" i="3"/>
  <c r="Q409" i="3"/>
  <c r="Q414" i="3"/>
  <c r="Q421" i="3"/>
  <c r="R421" i="3" s="1"/>
  <c r="Q426" i="3"/>
  <c r="Q434" i="3"/>
  <c r="Q438" i="3"/>
  <c r="Q443" i="3"/>
  <c r="R443" i="3" s="1"/>
  <c r="Q447" i="3"/>
  <c r="Q451" i="3"/>
  <c r="Q454" i="3"/>
  <c r="Q458" i="3"/>
  <c r="R458" i="3" s="1"/>
  <c r="Q463" i="3"/>
  <c r="Q466" i="3"/>
  <c r="Q470" i="3"/>
  <c r="Q474" i="3"/>
  <c r="R474" i="3" s="1"/>
  <c r="Q478" i="3"/>
  <c r="Q482" i="3"/>
  <c r="Q489" i="3"/>
  <c r="Q494" i="3"/>
  <c r="R494" i="3" s="1"/>
  <c r="Q501" i="3"/>
  <c r="Q505" i="3"/>
  <c r="Q509" i="3"/>
  <c r="Q513" i="3"/>
  <c r="R513" i="3" s="1"/>
  <c r="Q517" i="3"/>
  <c r="Q521" i="3"/>
  <c r="Q525" i="3"/>
  <c r="Q529" i="3"/>
  <c r="R529" i="3" s="1"/>
  <c r="Q532" i="3"/>
  <c r="Q536" i="3"/>
  <c r="Q540" i="3"/>
  <c r="Q544" i="3"/>
  <c r="R544" i="3" s="1"/>
  <c r="Q548" i="3"/>
  <c r="Q552" i="3"/>
  <c r="Q556" i="3"/>
  <c r="Q560" i="3"/>
  <c r="R560" i="3" s="1"/>
  <c r="Q564" i="3"/>
  <c r="Q569" i="3"/>
  <c r="Q572" i="3"/>
  <c r="Q579" i="3"/>
  <c r="R579" i="3" s="1"/>
  <c r="Q583" i="3"/>
  <c r="Q586" i="3"/>
  <c r="Q590" i="3"/>
  <c r="Q595" i="3"/>
  <c r="R595" i="3" s="1"/>
  <c r="Q599" i="3"/>
  <c r="Q603" i="3"/>
  <c r="Q607" i="3"/>
  <c r="Q612" i="3"/>
  <c r="R612" i="3" s="1"/>
  <c r="Q616" i="3"/>
  <c r="Q620" i="3"/>
  <c r="Q625" i="3"/>
  <c r="Q629" i="3"/>
  <c r="R629" i="3" s="1"/>
  <c r="Q633" i="3"/>
  <c r="Q637" i="3"/>
  <c r="Q641" i="3"/>
  <c r="Q646" i="3"/>
  <c r="R646" i="3" s="1"/>
  <c r="Q650" i="3"/>
  <c r="Q654" i="3"/>
  <c r="Q658" i="3"/>
  <c r="Q662" i="3"/>
  <c r="R662" i="3" s="1"/>
  <c r="Q667" i="3"/>
  <c r="Q671" i="3"/>
  <c r="Q675" i="3"/>
  <c r="Q679" i="3"/>
  <c r="R679" i="3" s="1"/>
  <c r="Q683" i="3"/>
  <c r="Q687" i="3"/>
  <c r="Q691" i="3"/>
  <c r="R691" i="3" s="1"/>
  <c r="Q695" i="3"/>
  <c r="Q699" i="3"/>
  <c r="Q704" i="3"/>
  <c r="Q709" i="3"/>
  <c r="R709" i="3" s="1"/>
  <c r="Q713" i="3"/>
  <c r="Q718" i="3"/>
  <c r="Q722" i="3"/>
  <c r="Q726" i="3"/>
  <c r="R726" i="3" s="1"/>
  <c r="Q730" i="3"/>
  <c r="Q734" i="3"/>
  <c r="Q738" i="3"/>
  <c r="Q742" i="3"/>
  <c r="R742" i="3" s="1"/>
  <c r="Q747" i="3"/>
  <c r="Q751" i="3"/>
  <c r="Q755" i="3"/>
  <c r="Q760" i="3"/>
  <c r="R760" i="3" s="1"/>
  <c r="Q764" i="3"/>
  <c r="Q768" i="3"/>
  <c r="Q772" i="3"/>
  <c r="Q776" i="3"/>
  <c r="R776" i="3" s="1"/>
  <c r="Q779" i="3"/>
  <c r="Q783" i="3"/>
  <c r="Q790" i="3"/>
  <c r="Q794" i="3"/>
  <c r="R794" i="3" s="1"/>
  <c r="Q798" i="3"/>
  <c r="Q802" i="3"/>
  <c r="Q806" i="3"/>
  <c r="Q813" i="3"/>
  <c r="R813" i="3" s="1"/>
  <c r="Q818" i="3"/>
  <c r="Q821" i="3"/>
  <c r="Q825" i="3"/>
  <c r="Q829" i="3"/>
  <c r="R829" i="3" s="1"/>
  <c r="Q833" i="3"/>
  <c r="Q837" i="3"/>
  <c r="Q841" i="3"/>
  <c r="Q846" i="3"/>
  <c r="R846" i="3" s="1"/>
  <c r="Q850" i="3"/>
  <c r="Q855" i="3"/>
  <c r="Q859" i="3"/>
  <c r="Q863" i="3"/>
  <c r="R863" i="3" s="1"/>
  <c r="Q867" i="3"/>
  <c r="Q873" i="3"/>
  <c r="Q879" i="3"/>
  <c r="Q883" i="3"/>
  <c r="R883" i="3" s="1"/>
  <c r="Q887" i="3"/>
  <c r="Q891" i="3"/>
  <c r="Q895" i="3"/>
  <c r="Q901" i="3"/>
  <c r="R901" i="3" s="1"/>
  <c r="Q906" i="3"/>
  <c r="Q910" i="3"/>
  <c r="Q914" i="3"/>
  <c r="Q918" i="3"/>
  <c r="R918" i="3" s="1"/>
  <c r="Q922" i="3"/>
  <c r="Q927" i="3"/>
  <c r="Q931" i="3"/>
  <c r="Q935" i="3"/>
  <c r="R935" i="3" s="1"/>
  <c r="Q940" i="3"/>
  <c r="Q944" i="3"/>
  <c r="Q948" i="3"/>
  <c r="Q953" i="3"/>
  <c r="R953" i="3" s="1"/>
  <c r="Q957" i="3"/>
  <c r="Q961" i="3"/>
  <c r="Q965" i="3"/>
  <c r="Q969" i="3"/>
  <c r="R969" i="3" s="1"/>
  <c r="Q977" i="3"/>
  <c r="Q981" i="3"/>
  <c r="Q985" i="3"/>
  <c r="Q992" i="3"/>
  <c r="R992" i="3" s="1"/>
  <c r="Q996" i="3"/>
  <c r="Q1000" i="3"/>
  <c r="Q1004" i="3"/>
  <c r="Q1010" i="3"/>
  <c r="R1010" i="3" s="1"/>
  <c r="Q1014" i="3"/>
  <c r="Q1018" i="3"/>
  <c r="Q1022" i="3"/>
  <c r="Q1028" i="3"/>
  <c r="R1028" i="3" s="1"/>
  <c r="Q1035" i="3"/>
  <c r="Q1039" i="3"/>
  <c r="Q1043" i="3"/>
  <c r="Q1047" i="3"/>
  <c r="R1047" i="3" s="1"/>
  <c r="Q1051" i="3"/>
  <c r="Q1055" i="3"/>
  <c r="Q1059" i="3"/>
  <c r="Q1066" i="3"/>
  <c r="R1066" i="3" s="1"/>
  <c r="Q1072" i="3"/>
  <c r="Q1076" i="3"/>
  <c r="Q1080" i="3"/>
  <c r="Q1084" i="3"/>
  <c r="R1084" i="3" s="1"/>
  <c r="Q1088" i="3"/>
  <c r="Q1093" i="3"/>
  <c r="Q1097" i="3"/>
  <c r="Q1101" i="3"/>
  <c r="R1101" i="3" s="1"/>
  <c r="Q1107" i="3"/>
  <c r="Q1111" i="3"/>
  <c r="Q1115" i="3"/>
  <c r="Q1119" i="3"/>
  <c r="R1119" i="3" s="1"/>
  <c r="Q1123" i="3"/>
  <c r="Q1127" i="3"/>
  <c r="Q1131" i="3"/>
  <c r="Q1135" i="3"/>
  <c r="Q1139" i="3"/>
  <c r="Q1143" i="3"/>
  <c r="Q1147" i="3"/>
  <c r="Q1151" i="3"/>
  <c r="R1151" i="3" s="1"/>
  <c r="Q1155" i="3"/>
  <c r="Q1160" i="3"/>
  <c r="Q1165" i="3"/>
  <c r="Q1171" i="3"/>
  <c r="R1171" i="3" s="1"/>
  <c r="Q1176" i="3"/>
  <c r="Q1180" i="3"/>
  <c r="Q1184" i="3"/>
  <c r="Q1188" i="3"/>
  <c r="R1188" i="3" s="1"/>
  <c r="Q1192" i="3"/>
  <c r="Q648" i="3"/>
  <c r="L7" i="4"/>
  <c r="H12" i="4"/>
  <c r="I12" i="4" s="1"/>
  <c r="S13" i="4"/>
  <c r="L34" i="4"/>
  <c r="L6" i="4"/>
  <c r="L8" i="4"/>
  <c r="S11" i="4"/>
  <c r="A14" i="4"/>
  <c r="L24" i="4"/>
  <c r="H26" i="4"/>
  <c r="I26" i="4" s="1"/>
  <c r="H34" i="4"/>
  <c r="I34" i="4" s="1"/>
  <c r="A10" i="7"/>
  <c r="L26" i="4"/>
  <c r="J33" i="4"/>
  <c r="K33" i="4" s="1"/>
  <c r="L33" i="4"/>
  <c r="J23" i="4"/>
  <c r="K23" i="4" s="1"/>
  <c r="L23" i="4"/>
  <c r="J25" i="4"/>
  <c r="K25" i="4" s="1"/>
  <c r="L25" i="4"/>
  <c r="H7" i="4"/>
  <c r="I7" i="4" s="1"/>
  <c r="H11" i="4"/>
  <c r="I11" i="4" s="1"/>
  <c r="J27" i="4"/>
  <c r="K27" i="4" s="1"/>
  <c r="L27" i="4"/>
  <c r="H33" i="4"/>
  <c r="I33" i="4" s="1"/>
  <c r="J15" i="4"/>
  <c r="K15" i="4" s="1"/>
  <c r="L15" i="4"/>
  <c r="J19" i="4"/>
  <c r="K19" i="4" s="1"/>
  <c r="L19" i="4"/>
  <c r="S8" i="4"/>
  <c r="S12" i="4"/>
  <c r="L14" i="4"/>
  <c r="S14" i="4"/>
  <c r="L16" i="4"/>
  <c r="S17" i="4"/>
  <c r="S19" i="4"/>
  <c r="L21" i="4"/>
  <c r="S23" i="4"/>
  <c r="S27" i="4"/>
  <c r="G2" i="4"/>
  <c r="H14" i="4"/>
  <c r="I14" i="4" s="1"/>
  <c r="L22" i="4"/>
  <c r="S22" i="4"/>
  <c r="A31" i="4"/>
  <c r="L101" i="9" s="1"/>
  <c r="H24" i="4"/>
  <c r="I24" i="4" s="1"/>
  <c r="S25" i="4"/>
  <c r="J10" i="4"/>
  <c r="K10" i="4" s="1"/>
  <c r="J16" i="4"/>
  <c r="K16" i="4" s="1"/>
  <c r="J18" i="4"/>
  <c r="K18" i="4" s="1"/>
  <c r="J21" i="4"/>
  <c r="K21" i="4" s="1"/>
  <c r="L31" i="4"/>
  <c r="H31" i="4"/>
  <c r="I31" i="4" s="1"/>
  <c r="H9" i="4"/>
  <c r="I9" i="4" s="1"/>
  <c r="L9" i="4"/>
  <c r="H13" i="4"/>
  <c r="I13" i="4" s="1"/>
  <c r="L13" i="4"/>
  <c r="B17" i="4"/>
  <c r="J6" i="7" s="1"/>
  <c r="H20" i="4"/>
  <c r="I20" i="4" s="1"/>
  <c r="L20" i="4"/>
  <c r="H32" i="4"/>
  <c r="I32" i="4" s="1"/>
  <c r="J6" i="4"/>
  <c r="K6" i="4" s="1"/>
  <c r="H6" i="4"/>
  <c r="H10" i="4"/>
  <c r="I10" i="4" s="1"/>
  <c r="H16" i="4"/>
  <c r="I16" i="4" s="1"/>
  <c r="H18" i="4"/>
  <c r="I18" i="4" s="1"/>
  <c r="H21" i="4"/>
  <c r="I21" i="4" s="1"/>
  <c r="L28" i="4"/>
  <c r="H28" i="4"/>
  <c r="I28" i="4" s="1"/>
  <c r="L30" i="4"/>
  <c r="H30" i="4"/>
  <c r="I30" i="4" s="1"/>
  <c r="L29" i="4"/>
  <c r="H29" i="4"/>
  <c r="I29" i="4" s="1"/>
  <c r="L35" i="4"/>
  <c r="H35" i="4"/>
  <c r="I35" i="4" s="1"/>
  <c r="A9" i="7"/>
  <c r="B16" i="4"/>
  <c r="B18" i="4"/>
  <c r="I7" i="7" s="1"/>
  <c r="J29" i="4"/>
  <c r="K29" i="4" s="1"/>
  <c r="J31" i="4"/>
  <c r="K31" i="4" s="1"/>
  <c r="J35" i="4"/>
  <c r="K35" i="4" s="1"/>
  <c r="A15" i="7" l="1"/>
  <c r="A14" i="7"/>
  <c r="R99" i="3"/>
  <c r="I26" i="7"/>
  <c r="J26" i="7"/>
  <c r="J20" i="7"/>
  <c r="J27" i="7"/>
  <c r="I25" i="7"/>
  <c r="J29" i="7"/>
  <c r="I28" i="7"/>
  <c r="J21" i="7"/>
  <c r="I31" i="7"/>
  <c r="I39" i="7"/>
  <c r="J38" i="7"/>
  <c r="I37" i="7"/>
  <c r="I21" i="7"/>
  <c r="J25" i="7"/>
  <c r="I24" i="7"/>
  <c r="I23" i="7"/>
  <c r="J23" i="7"/>
  <c r="I35" i="7"/>
  <c r="J39" i="7"/>
  <c r="I38" i="7"/>
  <c r="I22" i="7"/>
  <c r="J34" i="7"/>
  <c r="I33" i="7"/>
  <c r="I17" i="7"/>
  <c r="J37" i="7"/>
  <c r="I36" i="7"/>
  <c r="I20" i="7"/>
  <c r="J36" i="7"/>
  <c r="I19" i="7"/>
  <c r="I27" i="7"/>
  <c r="J35" i="7"/>
  <c r="I34" i="7"/>
  <c r="I18" i="7"/>
  <c r="J30" i="7"/>
  <c r="I29" i="7"/>
  <c r="J24" i="7"/>
  <c r="J33" i="7"/>
  <c r="I32" i="7"/>
  <c r="I16" i="7"/>
  <c r="J28" i="7"/>
  <c r="I15" i="7"/>
  <c r="J32" i="7"/>
  <c r="J22" i="7"/>
  <c r="J31" i="7"/>
  <c r="I30" i="7"/>
  <c r="I14" i="7"/>
  <c r="L49" i="9"/>
  <c r="L53" i="9"/>
  <c r="L57" i="9"/>
  <c r="L61" i="9"/>
  <c r="L55" i="9"/>
  <c r="L52" i="9"/>
  <c r="L60" i="9"/>
  <c r="L50" i="9"/>
  <c r="L54" i="9"/>
  <c r="L58" i="9"/>
  <c r="L62" i="9"/>
  <c r="L51" i="9"/>
  <c r="L59" i="9"/>
  <c r="L48" i="9"/>
  <c r="L56" i="9"/>
  <c r="R1199" i="3"/>
  <c r="H2" i="4"/>
  <c r="D8" i="4"/>
  <c r="T20" i="4" s="1"/>
  <c r="B14" i="10"/>
  <c r="R1201" i="3"/>
  <c r="R1200" i="3"/>
  <c r="T8" i="4"/>
  <c r="A42" i="7"/>
  <c r="A43" i="7"/>
  <c r="A41" i="7"/>
  <c r="R357" i="3"/>
  <c r="B5" i="10"/>
  <c r="C7" i="4"/>
  <c r="B1" i="4"/>
  <c r="A101" i="9"/>
  <c r="C101" i="9" s="1"/>
  <c r="R649" i="3"/>
  <c r="A39" i="7"/>
  <c r="A35" i="7"/>
  <c r="A29" i="7"/>
  <c r="A24" i="7"/>
  <c r="A23" i="7"/>
  <c r="A25" i="7"/>
  <c r="A19" i="7"/>
  <c r="A30" i="7"/>
  <c r="A20" i="7"/>
  <c r="A16" i="7"/>
  <c r="A26" i="7"/>
  <c r="A38" i="7"/>
  <c r="A22" i="7"/>
  <c r="A32" i="7"/>
  <c r="A37" i="7"/>
  <c r="A21" i="7"/>
  <c r="A31" i="7"/>
  <c r="A27" i="7"/>
  <c r="A34" i="7"/>
  <c r="A18" i="7"/>
  <c r="A28" i="7"/>
  <c r="A33" i="7"/>
  <c r="A17" i="7"/>
  <c r="A36" i="7"/>
  <c r="R1135" i="3"/>
  <c r="R623" i="3"/>
  <c r="H2" i="9"/>
  <c r="J5" i="7"/>
  <c r="A46" i="7"/>
  <c r="R1164" i="3"/>
  <c r="R1184" i="3"/>
  <c r="R1147" i="3"/>
  <c r="R1115" i="3"/>
  <c r="R1080" i="3"/>
  <c r="R1043" i="3"/>
  <c r="R1004" i="3"/>
  <c r="R965" i="3"/>
  <c r="R931" i="3"/>
  <c r="R895" i="3"/>
  <c r="R859" i="3"/>
  <c r="R825" i="3"/>
  <c r="R790" i="3"/>
  <c r="R755" i="3"/>
  <c r="R722" i="3"/>
  <c r="R687" i="3"/>
  <c r="R658" i="3"/>
  <c r="R625" i="3"/>
  <c r="R590" i="3"/>
  <c r="R648" i="3"/>
  <c r="R1180" i="3"/>
  <c r="R1160" i="3"/>
  <c r="R1143" i="3"/>
  <c r="R1127" i="3"/>
  <c r="R1111" i="3"/>
  <c r="R1093" i="3"/>
  <c r="R1076" i="3"/>
  <c r="R1055" i="3"/>
  <c r="R1039" i="3"/>
  <c r="R1018" i="3"/>
  <c r="R1000" i="3"/>
  <c r="R981" i="3"/>
  <c r="R961" i="3"/>
  <c r="R944" i="3"/>
  <c r="R927" i="3"/>
  <c r="R910" i="3"/>
  <c r="R891" i="3"/>
  <c r="R873" i="3"/>
  <c r="R855" i="3"/>
  <c r="R837" i="3"/>
  <c r="R821" i="3"/>
  <c r="R802" i="3"/>
  <c r="R783" i="3"/>
  <c r="R768" i="3"/>
  <c r="R751" i="3"/>
  <c r="R734" i="3"/>
  <c r="R718" i="3"/>
  <c r="R699" i="3"/>
  <c r="R683" i="3"/>
  <c r="R671" i="3"/>
  <c r="R654" i="3"/>
  <c r="R637" i="3"/>
  <c r="R620" i="3"/>
  <c r="R603" i="3"/>
  <c r="R586" i="3"/>
  <c r="R569" i="3"/>
  <c r="R552" i="3"/>
  <c r="R536" i="3"/>
  <c r="R521" i="3"/>
  <c r="R505" i="3"/>
  <c r="R482" i="3"/>
  <c r="R466" i="3"/>
  <c r="R451" i="3"/>
  <c r="R434" i="3"/>
  <c r="R409" i="3"/>
  <c r="R392" i="3"/>
  <c r="R375" i="3"/>
  <c r="R351" i="3"/>
  <c r="R333" i="3"/>
  <c r="R318" i="3"/>
  <c r="R301" i="3"/>
  <c r="R285" i="3"/>
  <c r="R266" i="3"/>
  <c r="R230" i="3"/>
  <c r="R213" i="3"/>
  <c r="R196" i="3"/>
  <c r="R181" i="3"/>
  <c r="R163" i="3"/>
  <c r="R1192" i="3"/>
  <c r="R1176" i="3"/>
  <c r="R1155" i="3"/>
  <c r="R1139" i="3"/>
  <c r="R1123" i="3"/>
  <c r="R1107" i="3"/>
  <c r="R1088" i="3"/>
  <c r="R1072" i="3"/>
  <c r="R1051" i="3"/>
  <c r="R1035" i="3"/>
  <c r="R1014" i="3"/>
  <c r="R996" i="3"/>
  <c r="R977" i="3"/>
  <c r="R957" i="3"/>
  <c r="R940" i="3"/>
  <c r="R922" i="3"/>
  <c r="R906" i="3"/>
  <c r="R887" i="3"/>
  <c r="R867" i="3"/>
  <c r="R850" i="3"/>
  <c r="R833" i="3"/>
  <c r="R818" i="3"/>
  <c r="R798" i="3"/>
  <c r="R779" i="3"/>
  <c r="R764" i="3"/>
  <c r="R747" i="3"/>
  <c r="R730" i="3"/>
  <c r="R713" i="3"/>
  <c r="R695" i="3"/>
  <c r="R667" i="3"/>
  <c r="R650" i="3"/>
  <c r="R633" i="3"/>
  <c r="R616" i="3"/>
  <c r="R599" i="3"/>
  <c r="R583" i="3"/>
  <c r="R564" i="3"/>
  <c r="R548" i="3"/>
  <c r="R532" i="3"/>
  <c r="R159" i="3"/>
  <c r="R139" i="3"/>
  <c r="R124" i="3"/>
  <c r="R1187" i="3"/>
  <c r="R1170" i="3"/>
  <c r="R1150" i="3"/>
  <c r="R1134" i="3"/>
  <c r="R1118" i="3"/>
  <c r="R1100" i="3"/>
  <c r="R1083" i="3"/>
  <c r="R1065" i="3"/>
  <c r="R1046" i="3"/>
  <c r="R1026" i="3"/>
  <c r="R1009" i="3"/>
  <c r="R991" i="3"/>
  <c r="R976" i="3"/>
  <c r="R956" i="3"/>
  <c r="R938" i="3"/>
  <c r="R921" i="3"/>
  <c r="R905" i="3"/>
  <c r="R886" i="3"/>
  <c r="R866" i="3"/>
  <c r="R849" i="3"/>
  <c r="R832" i="3"/>
  <c r="R816" i="3"/>
  <c r="R801" i="3"/>
  <c r="R782" i="3"/>
  <c r="R1183" i="3"/>
  <c r="R1163" i="3"/>
  <c r="R1146" i="3"/>
  <c r="R1130" i="3"/>
  <c r="R1114" i="3"/>
  <c r="R1096" i="3"/>
  <c r="R1079" i="3"/>
  <c r="R1058" i="3"/>
  <c r="R1042" i="3"/>
  <c r="R1021" i="3"/>
  <c r="R1003" i="3"/>
  <c r="R988" i="3"/>
  <c r="R968" i="3"/>
  <c r="R952" i="3"/>
  <c r="R934" i="3"/>
  <c r="R917" i="3"/>
  <c r="R900" i="3"/>
  <c r="R882" i="3"/>
  <c r="R862" i="3"/>
  <c r="R845" i="3"/>
  <c r="R828" i="3"/>
  <c r="R812" i="3"/>
  <c r="R797" i="3"/>
  <c r="R775" i="3"/>
  <c r="R759" i="3"/>
  <c r="R741" i="3"/>
  <c r="R725" i="3"/>
  <c r="R708" i="3"/>
  <c r="R690" i="3"/>
  <c r="R674" i="3"/>
  <c r="R657" i="3"/>
  <c r="R636" i="3"/>
  <c r="R1165" i="3"/>
  <c r="R1131" i="3"/>
  <c r="R1097" i="3"/>
  <c r="R1059" i="3"/>
  <c r="R1022" i="3"/>
  <c r="R985" i="3"/>
  <c r="R948" i="3"/>
  <c r="R914" i="3"/>
  <c r="R879" i="3"/>
  <c r="R841" i="3"/>
  <c r="R806" i="3"/>
  <c r="R772" i="3"/>
  <c r="R738" i="3"/>
  <c r="R704" i="3"/>
  <c r="R675" i="3"/>
  <c r="R641" i="3"/>
  <c r="R607" i="3"/>
  <c r="R572" i="3"/>
  <c r="R556" i="3"/>
  <c r="R540" i="3"/>
  <c r="R525" i="3"/>
  <c r="R509" i="3"/>
  <c r="R489" i="3"/>
  <c r="R470" i="3"/>
  <c r="R454" i="3"/>
  <c r="R438" i="3"/>
  <c r="R414" i="3"/>
  <c r="R397" i="3"/>
  <c r="R379" i="3"/>
  <c r="R354" i="3"/>
  <c r="R338" i="3"/>
  <c r="R322" i="3"/>
  <c r="R305" i="3"/>
  <c r="R289" i="3"/>
  <c r="R270" i="3"/>
  <c r="R254" i="3"/>
  <c r="R234" i="3"/>
  <c r="R218" i="3"/>
  <c r="R200" i="3"/>
  <c r="R185" i="3"/>
  <c r="R169" i="3"/>
  <c r="R151" i="3"/>
  <c r="R132" i="3"/>
  <c r="R1179" i="3"/>
  <c r="R1159" i="3"/>
  <c r="R1142" i="3"/>
  <c r="R1126" i="3"/>
  <c r="R1110" i="3"/>
  <c r="R1092" i="3"/>
  <c r="R1075" i="3"/>
  <c r="R1054" i="3"/>
  <c r="R1038" i="3"/>
  <c r="R1017" i="3"/>
  <c r="R999" i="3"/>
  <c r="R984" i="3"/>
  <c r="R964" i="3"/>
  <c r="R947" i="3"/>
  <c r="R930" i="3"/>
  <c r="R913" i="3"/>
  <c r="R894" i="3"/>
  <c r="R876" i="3"/>
  <c r="R858" i="3"/>
  <c r="R840" i="3"/>
  <c r="R517" i="3"/>
  <c r="R501" i="3"/>
  <c r="R478" i="3"/>
  <c r="R463" i="3"/>
  <c r="R447" i="3"/>
  <c r="R426" i="3"/>
  <c r="R404" i="3"/>
  <c r="R387" i="3"/>
  <c r="R364" i="3"/>
  <c r="R347" i="3"/>
  <c r="R330" i="3"/>
  <c r="R314" i="3"/>
  <c r="R297" i="3"/>
  <c r="R278" i="3"/>
  <c r="R262" i="3"/>
  <c r="R227" i="3"/>
  <c r="R208" i="3"/>
  <c r="R192" i="3"/>
  <c r="R177" i="3"/>
  <c r="R146" i="3"/>
  <c r="R128" i="3"/>
  <c r="R1191" i="3"/>
  <c r="R1175" i="3"/>
  <c r="R1154" i="3"/>
  <c r="R1138" i="3"/>
  <c r="R1122" i="3"/>
  <c r="R1106" i="3"/>
  <c r="R1087" i="3"/>
  <c r="R1071" i="3"/>
  <c r="R1050" i="3"/>
  <c r="R1031" i="3"/>
  <c r="R1013" i="3"/>
  <c r="R995" i="3"/>
  <c r="R980" i="3"/>
  <c r="R960" i="3"/>
  <c r="R943" i="3"/>
  <c r="R926" i="3"/>
  <c r="R909" i="3"/>
  <c r="R890" i="3"/>
  <c r="R872" i="3"/>
  <c r="R854" i="3"/>
  <c r="R836" i="3"/>
  <c r="R820" i="3"/>
  <c r="R805" i="3"/>
  <c r="R789" i="3"/>
  <c r="R767" i="3"/>
  <c r="R750" i="3"/>
  <c r="R733" i="3"/>
  <c r="R717" i="3"/>
  <c r="R698" i="3"/>
  <c r="R682" i="3"/>
  <c r="R666" i="3"/>
  <c r="R645" i="3"/>
  <c r="R628" i="3"/>
  <c r="R611" i="3"/>
  <c r="R593" i="3"/>
  <c r="R568" i="3"/>
  <c r="R551" i="3"/>
  <c r="R535" i="3"/>
  <c r="R516" i="3"/>
  <c r="R500" i="3"/>
  <c r="R481" i="3"/>
  <c r="R462" i="3"/>
  <c r="R446" i="3"/>
  <c r="R430" i="3"/>
  <c r="R408" i="3"/>
  <c r="R391" i="3"/>
  <c r="R374" i="3"/>
  <c r="R346" i="3"/>
  <c r="R329" i="3"/>
  <c r="R313" i="3"/>
  <c r="R296" i="3"/>
  <c r="R281" i="3"/>
  <c r="R265" i="3"/>
  <c r="R229" i="3"/>
  <c r="R212" i="3"/>
  <c r="R195" i="3"/>
  <c r="R176" i="3"/>
  <c r="R158" i="3"/>
  <c r="R141" i="3"/>
  <c r="R127" i="3"/>
  <c r="R107" i="3"/>
  <c r="R90" i="3"/>
  <c r="R1186" i="3"/>
  <c r="R1169" i="3"/>
  <c r="R1149" i="3"/>
  <c r="R1133" i="3"/>
  <c r="R1117" i="3"/>
  <c r="R1099" i="3"/>
  <c r="R1082" i="3"/>
  <c r="R1064" i="3"/>
  <c r="R1030" i="3"/>
  <c r="R763" i="3"/>
  <c r="R746" i="3"/>
  <c r="R729" i="3"/>
  <c r="R712" i="3"/>
  <c r="R694" i="3"/>
  <c r="R678" i="3"/>
  <c r="R661" i="3"/>
  <c r="R640" i="3"/>
  <c r="R624" i="3"/>
  <c r="R606" i="3"/>
  <c r="R589" i="3"/>
  <c r="R563" i="3"/>
  <c r="R547" i="3"/>
  <c r="R528" i="3"/>
  <c r="R512" i="3"/>
  <c r="R497" i="3"/>
  <c r="R477" i="3"/>
  <c r="R457" i="3"/>
  <c r="R442" i="3"/>
  <c r="R425" i="3"/>
  <c r="R403" i="3"/>
  <c r="R386" i="3"/>
  <c r="R363" i="3"/>
  <c r="R341" i="3"/>
  <c r="R325" i="3"/>
  <c r="R308" i="3"/>
  <c r="R292" i="3"/>
  <c r="R277" i="3"/>
  <c r="R261" i="3"/>
  <c r="R226" i="3"/>
  <c r="R207" i="3"/>
  <c r="R188" i="3"/>
  <c r="R172" i="3"/>
  <c r="R154" i="3"/>
  <c r="R138" i="3"/>
  <c r="R123" i="3"/>
  <c r="R103" i="3"/>
  <c r="R1182" i="3"/>
  <c r="R1162" i="3"/>
  <c r="R1145" i="3"/>
  <c r="R1129" i="3"/>
  <c r="R1113" i="3"/>
  <c r="R1095" i="3"/>
  <c r="R1078" i="3"/>
  <c r="R1061" i="3"/>
  <c r="R1045" i="3"/>
  <c r="R1024" i="3"/>
  <c r="R1007" i="3"/>
  <c r="R990" i="3"/>
  <c r="R975" i="3"/>
  <c r="R959" i="3"/>
  <c r="R942" i="3"/>
  <c r="R925" i="3"/>
  <c r="R908" i="3"/>
  <c r="R889" i="3"/>
  <c r="R871" i="3"/>
  <c r="R852" i="3"/>
  <c r="R835" i="3"/>
  <c r="R815" i="3"/>
  <c r="R800" i="3"/>
  <c r="R785" i="3"/>
  <c r="R766" i="3"/>
  <c r="R749" i="3"/>
  <c r="R732" i="3"/>
  <c r="R715" i="3"/>
  <c r="R697" i="3"/>
  <c r="R681" i="3"/>
  <c r="R664" i="3"/>
  <c r="R631" i="3"/>
  <c r="R614" i="3"/>
  <c r="R597" i="3"/>
  <c r="R577" i="3"/>
  <c r="R558" i="3"/>
  <c r="R542" i="3"/>
  <c r="R523" i="3"/>
  <c r="R503" i="3"/>
  <c r="R487" i="3"/>
  <c r="R472" i="3"/>
  <c r="R449" i="3"/>
  <c r="R432" i="3"/>
  <c r="R416" i="3"/>
  <c r="R394" i="3"/>
  <c r="R377" i="3"/>
  <c r="R362" i="3"/>
  <c r="R340" i="3"/>
  <c r="R619" i="3"/>
  <c r="R602" i="3"/>
  <c r="R582" i="3"/>
  <c r="R559" i="3"/>
  <c r="R543" i="3"/>
  <c r="R524" i="3"/>
  <c r="R508" i="3"/>
  <c r="R492" i="3"/>
  <c r="R473" i="3"/>
  <c r="R453" i="3"/>
  <c r="R437" i="3"/>
  <c r="R420" i="3"/>
  <c r="R399" i="3"/>
  <c r="R382" i="3"/>
  <c r="R359" i="3"/>
  <c r="R337" i="3"/>
  <c r="R321" i="3"/>
  <c r="R304" i="3"/>
  <c r="R288" i="3"/>
  <c r="R273" i="3"/>
  <c r="R257" i="3"/>
  <c r="R237" i="3"/>
  <c r="R222" i="3"/>
  <c r="R203" i="3"/>
  <c r="R184" i="3"/>
  <c r="R168" i="3"/>
  <c r="R150" i="3"/>
  <c r="R134" i="3"/>
  <c r="R1196" i="3"/>
  <c r="R1178" i="3"/>
  <c r="R1157" i="3"/>
  <c r="R1141" i="3"/>
  <c r="R1125" i="3"/>
  <c r="R1109" i="3"/>
  <c r="R1091" i="3"/>
  <c r="R1057" i="3"/>
  <c r="R1041" i="3"/>
  <c r="R1020" i="3"/>
  <c r="R1002" i="3"/>
  <c r="R987" i="3"/>
  <c r="R972" i="3"/>
  <c r="R955" i="3"/>
  <c r="R937" i="3"/>
  <c r="R920" i="3"/>
  <c r="R904" i="3"/>
  <c r="R885" i="3"/>
  <c r="R865" i="3"/>
  <c r="R848" i="3"/>
  <c r="R831" i="3"/>
  <c r="R811" i="3"/>
  <c r="R796" i="3"/>
  <c r="R781" i="3"/>
  <c r="R762" i="3"/>
  <c r="R745" i="3"/>
  <c r="R728" i="3"/>
  <c r="R711" i="3"/>
  <c r="R693" i="3"/>
  <c r="R677" i="3"/>
  <c r="R660" i="3"/>
  <c r="R643" i="3"/>
  <c r="R627" i="3"/>
  <c r="R610" i="3"/>
  <c r="R592" i="3"/>
  <c r="R574" i="3"/>
  <c r="R554" i="3"/>
  <c r="R538" i="3"/>
  <c r="R515" i="3"/>
  <c r="R499" i="3"/>
  <c r="R484" i="3"/>
  <c r="R468" i="3"/>
  <c r="R445" i="3"/>
  <c r="R429" i="3"/>
  <c r="R412" i="3"/>
  <c r="R390" i="3"/>
  <c r="R373" i="3"/>
  <c r="R358" i="3"/>
  <c r="R336" i="3"/>
  <c r="R316" i="3"/>
  <c r="R299" i="3"/>
  <c r="R824" i="3"/>
  <c r="R809" i="3"/>
  <c r="R793" i="3"/>
  <c r="R771" i="3"/>
  <c r="R754" i="3"/>
  <c r="R737" i="3"/>
  <c r="R721" i="3"/>
  <c r="R702" i="3"/>
  <c r="R686" i="3"/>
  <c r="R670" i="3"/>
  <c r="R653" i="3"/>
  <c r="R632" i="3"/>
  <c r="R615" i="3"/>
  <c r="R598" i="3"/>
  <c r="R578" i="3"/>
  <c r="R555" i="3"/>
  <c r="R539" i="3"/>
  <c r="R520" i="3"/>
  <c r="R504" i="3"/>
  <c r="R488" i="3"/>
  <c r="R469" i="3"/>
  <c r="R450" i="3"/>
  <c r="R433" i="3"/>
  <c r="R413" i="3"/>
  <c r="R395" i="3"/>
  <c r="R378" i="3"/>
  <c r="R350" i="3"/>
  <c r="R332" i="3"/>
  <c r="R317" i="3"/>
  <c r="R300" i="3"/>
  <c r="R284" i="3"/>
  <c r="R269" i="3"/>
  <c r="R253" i="3"/>
  <c r="R233" i="3"/>
  <c r="R217" i="3"/>
  <c r="R199" i="3"/>
  <c r="R180" i="3"/>
  <c r="R162" i="3"/>
  <c r="R144" i="3"/>
  <c r="R131" i="3"/>
  <c r="R111" i="3"/>
  <c r="R94" i="3"/>
  <c r="R1190" i="3"/>
  <c r="R1174" i="3"/>
  <c r="R1153" i="3"/>
  <c r="R1137" i="3"/>
  <c r="R1121" i="3"/>
  <c r="R1104" i="3"/>
  <c r="R1086" i="3"/>
  <c r="R1070" i="3"/>
  <c r="R1053" i="3"/>
  <c r="R1037" i="3"/>
  <c r="R1016" i="3"/>
  <c r="R998" i="3"/>
  <c r="R983" i="3"/>
  <c r="R967" i="3"/>
  <c r="R950" i="3"/>
  <c r="R933" i="3"/>
  <c r="R916" i="3"/>
  <c r="R899" i="3"/>
  <c r="R881" i="3"/>
  <c r="R861" i="3"/>
  <c r="R844" i="3"/>
  <c r="R827" i="3"/>
  <c r="R808" i="3"/>
  <c r="R792" i="3"/>
  <c r="R774" i="3"/>
  <c r="R757" i="3"/>
  <c r="R740" i="3"/>
  <c r="R724" i="3"/>
  <c r="R707" i="3"/>
  <c r="R689" i="3"/>
  <c r="R673" i="3"/>
  <c r="R656" i="3"/>
  <c r="R639" i="3"/>
  <c r="R622" i="3"/>
  <c r="R605" i="3"/>
  <c r="R588" i="3"/>
  <c r="R567" i="3"/>
  <c r="R550" i="3"/>
  <c r="R1012" i="3"/>
  <c r="R994" i="3"/>
  <c r="R979" i="3"/>
  <c r="R963" i="3"/>
  <c r="R946" i="3"/>
  <c r="R929" i="3"/>
  <c r="R912" i="3"/>
  <c r="R893" i="3"/>
  <c r="R875" i="3"/>
  <c r="R857" i="3"/>
  <c r="R839" i="3"/>
  <c r="R823" i="3"/>
  <c r="R804" i="3"/>
  <c r="R788" i="3"/>
  <c r="R770" i="3"/>
  <c r="R753" i="3"/>
  <c r="R736" i="3"/>
  <c r="R720" i="3"/>
  <c r="R701" i="3"/>
  <c r="R685" i="3"/>
  <c r="R669" i="3"/>
  <c r="R652" i="3"/>
  <c r="R635" i="3"/>
  <c r="R618" i="3"/>
  <c r="R601" i="3"/>
  <c r="R581" i="3"/>
  <c r="R562" i="3"/>
  <c r="R546" i="3"/>
  <c r="R527" i="3"/>
  <c r="R507" i="3"/>
  <c r="R491" i="3"/>
  <c r="R476" i="3"/>
  <c r="R456" i="3"/>
  <c r="R436" i="3"/>
  <c r="R419" i="3"/>
  <c r="R402" i="3"/>
  <c r="R381" i="3"/>
  <c r="R366" i="3"/>
  <c r="R345" i="3"/>
  <c r="R324" i="3"/>
  <c r="R307" i="3"/>
  <c r="R291" i="3"/>
  <c r="R276" i="3"/>
  <c r="R260" i="3"/>
  <c r="R225" i="3"/>
  <c r="R202" i="3"/>
  <c r="R183" i="3"/>
  <c r="R807" i="3"/>
  <c r="R791" i="3"/>
  <c r="R479" i="3"/>
  <c r="R393" i="3"/>
  <c r="R376" i="3"/>
  <c r="R319" i="3"/>
  <c r="R302" i="3"/>
  <c r="R286" i="3"/>
  <c r="R267" i="3"/>
  <c r="R186" i="3"/>
  <c r="R170" i="3"/>
  <c r="R152" i="3"/>
  <c r="R125" i="3"/>
  <c r="R109" i="3"/>
  <c r="R69" i="3"/>
  <c r="R45" i="3"/>
  <c r="R30" i="3"/>
  <c r="R14" i="3"/>
  <c r="R137" i="3"/>
  <c r="R102" i="3"/>
  <c r="R50" i="3"/>
  <c r="R11" i="3"/>
  <c r="R970" i="3"/>
  <c r="R954" i="3"/>
  <c r="R936" i="3"/>
  <c r="R919" i="3"/>
  <c r="R902" i="3"/>
  <c r="R884" i="3"/>
  <c r="R864" i="3"/>
  <c r="R847" i="3"/>
  <c r="R830" i="3"/>
  <c r="R580" i="3"/>
  <c r="R506" i="3"/>
  <c r="R486" i="3"/>
  <c r="R401" i="3"/>
  <c r="R339" i="3"/>
  <c r="R205" i="3"/>
  <c r="R570" i="3"/>
  <c r="R303" i="3"/>
  <c r="R287" i="3"/>
  <c r="R272" i="3"/>
  <c r="R256" i="3"/>
  <c r="R215" i="3"/>
  <c r="R198" i="3"/>
  <c r="R179" i="3"/>
  <c r="R803" i="3"/>
  <c r="R787" i="3"/>
  <c r="R475" i="3"/>
  <c r="R388" i="3"/>
  <c r="R372" i="3"/>
  <c r="R315" i="3"/>
  <c r="R298" i="3"/>
  <c r="R279" i="3"/>
  <c r="R263" i="3"/>
  <c r="R182" i="3"/>
  <c r="R164" i="3"/>
  <c r="R148" i="3"/>
  <c r="R120" i="3"/>
  <c r="R105" i="3"/>
  <c r="R88" i="3"/>
  <c r="R126" i="3"/>
  <c r="R89" i="3"/>
  <c r="R39" i="3"/>
  <c r="R108" i="3"/>
  <c r="R91" i="3"/>
  <c r="R72" i="3"/>
  <c r="R55" i="3"/>
  <c r="R33" i="3"/>
  <c r="R17" i="3"/>
  <c r="R1144" i="3"/>
  <c r="R545" i="3"/>
  <c r="R368" i="3"/>
  <c r="R161" i="3"/>
  <c r="R130" i="3"/>
  <c r="R93" i="3"/>
  <c r="R31" i="3"/>
  <c r="R283" i="3"/>
  <c r="R268" i="3"/>
  <c r="R252" i="3"/>
  <c r="R236" i="3"/>
  <c r="R210" i="3"/>
  <c r="R194" i="3"/>
  <c r="R175" i="3"/>
  <c r="R799" i="3"/>
  <c r="R573" i="3"/>
  <c r="R471" i="3"/>
  <c r="R384" i="3"/>
  <c r="R327" i="3"/>
  <c r="R311" i="3"/>
  <c r="R294" i="3"/>
  <c r="R275" i="3"/>
  <c r="R259" i="3"/>
  <c r="R178" i="3"/>
  <c r="R160" i="3"/>
  <c r="R136" i="3"/>
  <c r="R116" i="3"/>
  <c r="R101" i="3"/>
  <c r="R117" i="3"/>
  <c r="R81" i="3"/>
  <c r="R35" i="3"/>
  <c r="R962" i="3"/>
  <c r="R945" i="3"/>
  <c r="R928" i="3"/>
  <c r="R911" i="3"/>
  <c r="R892" i="3"/>
  <c r="R874" i="3"/>
  <c r="R856" i="3"/>
  <c r="R838" i="3"/>
  <c r="R822" i="3"/>
  <c r="R514" i="3"/>
  <c r="R495" i="3"/>
  <c r="R411" i="3"/>
  <c r="R348" i="3"/>
  <c r="R214" i="3"/>
  <c r="R197" i="3"/>
  <c r="R534" i="3"/>
  <c r="R511" i="3"/>
  <c r="R496" i="3"/>
  <c r="R480" i="3"/>
  <c r="R461" i="3"/>
  <c r="R440" i="3"/>
  <c r="R423" i="3"/>
  <c r="R407" i="3"/>
  <c r="R385" i="3"/>
  <c r="R369" i="3"/>
  <c r="R349" i="3"/>
  <c r="R328" i="3"/>
  <c r="R312" i="3"/>
  <c r="R295" i="3"/>
  <c r="R280" i="3"/>
  <c r="R264" i="3"/>
  <c r="R232" i="3"/>
  <c r="R206" i="3"/>
  <c r="R187" i="3"/>
  <c r="R814" i="3"/>
  <c r="R795" i="3"/>
  <c r="R483" i="3"/>
  <c r="R467" i="3"/>
  <c r="R380" i="3"/>
  <c r="R323" i="3"/>
  <c r="R306" i="3"/>
  <c r="R290" i="3"/>
  <c r="R271" i="3"/>
  <c r="R255" i="3"/>
  <c r="R190" i="3"/>
  <c r="R174" i="3"/>
  <c r="R156" i="3"/>
  <c r="R129" i="3"/>
  <c r="R193" i="3"/>
  <c r="R100" i="3"/>
  <c r="R83" i="3"/>
  <c r="R65" i="3"/>
  <c r="R41" i="3"/>
  <c r="R25" i="3"/>
  <c r="R9" i="3"/>
  <c r="R565" i="3"/>
  <c r="R464" i="3"/>
  <c r="R231" i="3"/>
  <c r="R149" i="3"/>
  <c r="R114" i="3"/>
  <c r="R57" i="3"/>
  <c r="R7" i="3"/>
  <c r="R1052" i="3"/>
  <c r="R1036" i="3"/>
  <c r="R1015" i="3"/>
  <c r="R997" i="3"/>
  <c r="R978" i="3"/>
  <c r="R769" i="3"/>
  <c r="R752" i="3"/>
  <c r="R735" i="3"/>
  <c r="R719" i="3"/>
  <c r="R700" i="3"/>
  <c r="R684" i="3"/>
  <c r="R668" i="3"/>
  <c r="R651" i="3"/>
  <c r="R634" i="3"/>
  <c r="R617" i="3"/>
  <c r="R600" i="3"/>
  <c r="R530" i="3"/>
  <c r="R444" i="3"/>
  <c r="R422" i="3"/>
  <c r="R355" i="3"/>
  <c r="R74" i="3"/>
  <c r="R58" i="3"/>
  <c r="R36" i="3"/>
  <c r="R20" i="3"/>
  <c r="R5" i="3"/>
  <c r="R1189" i="3"/>
  <c r="R1172" i="3"/>
  <c r="R1152" i="3"/>
  <c r="R1132" i="3"/>
  <c r="R1116" i="3"/>
  <c r="R1081" i="3"/>
  <c r="R784" i="3"/>
  <c r="R561" i="3"/>
  <c r="R533" i="3"/>
  <c r="R98" i="3"/>
  <c r="R27" i="3"/>
  <c r="R575" i="3"/>
  <c r="R353" i="3"/>
  <c r="R228" i="3"/>
  <c r="R44" i="3"/>
  <c r="R585" i="3"/>
  <c r="R786" i="3"/>
  <c r="R498" i="3"/>
  <c r="R431" i="3"/>
  <c r="R6" i="3"/>
  <c r="R966" i="3"/>
  <c r="R949" i="3"/>
  <c r="R932" i="3"/>
  <c r="R915" i="3"/>
  <c r="R898" i="3"/>
  <c r="R880" i="3"/>
  <c r="R860" i="3"/>
  <c r="R843" i="3"/>
  <c r="R826" i="3"/>
  <c r="R576" i="3"/>
  <c r="R502" i="3"/>
  <c r="R415" i="3"/>
  <c r="R352" i="3"/>
  <c r="R334" i="3"/>
  <c r="R201" i="3"/>
  <c r="R112" i="3"/>
  <c r="R95" i="3"/>
  <c r="R79" i="3"/>
  <c r="R59" i="3"/>
  <c r="R37" i="3"/>
  <c r="R21" i="3"/>
  <c r="R3" i="3"/>
  <c r="R553" i="3"/>
  <c r="R455" i="3"/>
  <c r="R166" i="3"/>
  <c r="R143" i="3"/>
  <c r="R106" i="3"/>
  <c r="R43" i="3"/>
  <c r="R1029" i="3"/>
  <c r="R1011" i="3"/>
  <c r="R993" i="3"/>
  <c r="R974" i="3"/>
  <c r="R765" i="3"/>
  <c r="R748" i="3"/>
  <c r="R731" i="3"/>
  <c r="R714" i="3"/>
  <c r="R696" i="3"/>
  <c r="R680" i="3"/>
  <c r="R663" i="3"/>
  <c r="R647" i="3"/>
  <c r="R630" i="3"/>
  <c r="R613" i="3"/>
  <c r="R596" i="3"/>
  <c r="R526" i="3"/>
  <c r="R439" i="3"/>
  <c r="R418" i="3"/>
  <c r="R224" i="3"/>
  <c r="R71" i="3"/>
  <c r="R51" i="3"/>
  <c r="R32" i="3"/>
  <c r="R16" i="3"/>
  <c r="R1185" i="3"/>
  <c r="R1167" i="3"/>
  <c r="R1148" i="3"/>
  <c r="R1128" i="3"/>
  <c r="R1112" i="3"/>
  <c r="R1094" i="3"/>
  <c r="R1073" i="3"/>
  <c r="R780" i="3"/>
  <c r="R460" i="3"/>
  <c r="R77" i="3"/>
  <c r="R15" i="3"/>
  <c r="R571" i="3"/>
  <c r="R331" i="3"/>
  <c r="R140" i="3"/>
  <c r="R4" i="3"/>
  <c r="R191" i="3"/>
  <c r="R778" i="3"/>
  <c r="R485" i="3"/>
  <c r="R417" i="3"/>
  <c r="R282" i="3"/>
  <c r="R1060" i="3"/>
  <c r="R1044" i="3"/>
  <c r="R1023" i="3"/>
  <c r="R1006" i="3"/>
  <c r="R986" i="3"/>
  <c r="R777" i="3"/>
  <c r="R761" i="3"/>
  <c r="R743" i="3"/>
  <c r="R727" i="3"/>
  <c r="R710" i="3"/>
  <c r="R692" i="3"/>
  <c r="R676" i="3"/>
  <c r="R659" i="3"/>
  <c r="R642" i="3"/>
  <c r="R626" i="3"/>
  <c r="R609" i="3"/>
  <c r="R591" i="3"/>
  <c r="R522" i="3"/>
  <c r="R435" i="3"/>
  <c r="R365" i="3"/>
  <c r="R82" i="3"/>
  <c r="R67" i="3"/>
  <c r="R47" i="3"/>
  <c r="R28" i="3"/>
  <c r="R12" i="3"/>
  <c r="R1181" i="3"/>
  <c r="R1161" i="3"/>
  <c r="R1140" i="3"/>
  <c r="R1124" i="3"/>
  <c r="R1108" i="3"/>
  <c r="R1090" i="3"/>
  <c r="R1068" i="3"/>
  <c r="R549" i="3"/>
  <c r="R235" i="3"/>
  <c r="R61" i="3"/>
  <c r="R398" i="3"/>
  <c r="R66" i="3"/>
  <c r="R115" i="3"/>
  <c r="R989" i="3"/>
  <c r="R819" i="3"/>
  <c r="R531" i="3"/>
  <c r="R465" i="3"/>
  <c r="R142" i="3"/>
  <c r="R221" i="3"/>
  <c r="R113" i="3"/>
  <c r="R97" i="3"/>
  <c r="R80" i="3"/>
  <c r="R49" i="3"/>
  <c r="R34" i="3"/>
  <c r="R18" i="3"/>
  <c r="R153" i="3"/>
  <c r="R110" i="3"/>
  <c r="R70" i="3"/>
  <c r="R23" i="3"/>
  <c r="R958" i="3"/>
  <c r="R941" i="3"/>
  <c r="R924" i="3"/>
  <c r="R907" i="3"/>
  <c r="R888" i="3"/>
  <c r="R868" i="3"/>
  <c r="R851" i="3"/>
  <c r="R834" i="3"/>
  <c r="R584" i="3"/>
  <c r="R510" i="3"/>
  <c r="R490" i="3"/>
  <c r="R406" i="3"/>
  <c r="R344" i="3"/>
  <c r="R209" i="3"/>
  <c r="R104" i="3"/>
  <c r="R87" i="3"/>
  <c r="R68" i="3"/>
  <c r="R48" i="3"/>
  <c r="R29" i="3"/>
  <c r="R13" i="3"/>
  <c r="R1077" i="3"/>
  <c r="R537" i="3"/>
  <c r="R157" i="3"/>
  <c r="R122" i="3"/>
  <c r="R85" i="3"/>
  <c r="R19" i="3"/>
  <c r="R1056" i="3"/>
  <c r="R1040" i="3"/>
  <c r="R1019" i="3"/>
  <c r="R1001" i="3"/>
  <c r="R982" i="3"/>
  <c r="R773" i="3"/>
  <c r="R756" i="3"/>
  <c r="R739" i="3"/>
  <c r="R723" i="3"/>
  <c r="R706" i="3"/>
  <c r="R688" i="3"/>
  <c r="R672" i="3"/>
  <c r="R655" i="3"/>
  <c r="R638" i="3"/>
  <c r="R621" i="3"/>
  <c r="R604" i="3"/>
  <c r="R587" i="3"/>
  <c r="R448" i="3"/>
  <c r="R428" i="3"/>
  <c r="R361" i="3"/>
  <c r="R78" i="3"/>
  <c r="R64" i="3"/>
  <c r="R40" i="3"/>
  <c r="R24" i="3"/>
  <c r="R8" i="3"/>
  <c r="R1193" i="3"/>
  <c r="R1177" i="3"/>
  <c r="R1156" i="3"/>
  <c r="R1136" i="3"/>
  <c r="R1120" i="3"/>
  <c r="R1103" i="3"/>
  <c r="R1085" i="3"/>
  <c r="R1063" i="3"/>
  <c r="R541" i="3"/>
  <c r="R171" i="3"/>
  <c r="R46" i="3"/>
  <c r="R1062" i="3"/>
  <c r="R367" i="3"/>
  <c r="R371" i="3"/>
  <c r="R73" i="3"/>
  <c r="R973" i="3"/>
  <c r="R810" i="3"/>
  <c r="R519" i="3"/>
  <c r="R452" i="3"/>
  <c r="R75" i="3"/>
  <c r="R133" i="3"/>
  <c r="R250" i="3"/>
  <c r="R245" i="3"/>
  <c r="R249" i="3"/>
  <c r="R1049" i="3"/>
  <c r="R1098" i="3"/>
  <c r="R251" i="3"/>
  <c r="R1048" i="3"/>
  <c r="R246" i="3"/>
  <c r="R1074" i="3"/>
  <c r="R320" i="3"/>
  <c r="R248" i="3"/>
  <c r="R247" i="3"/>
  <c r="R239" i="3"/>
  <c r="R240" i="3"/>
  <c r="R241" i="3"/>
  <c r="R92" i="3"/>
  <c r="R1005" i="3"/>
  <c r="R242" i="3"/>
  <c r="R557" i="3"/>
  <c r="R244" i="3"/>
  <c r="R243" i="3"/>
  <c r="J2" i="4"/>
  <c r="I6" i="4"/>
  <c r="T17" i="4" l="1"/>
  <c r="K2" i="4"/>
  <c r="B21" i="10" s="1"/>
  <c r="T15" i="4"/>
  <c r="T13" i="4"/>
  <c r="T10" i="4"/>
  <c r="T12" i="4"/>
  <c r="T18" i="4"/>
  <c r="T11" i="4"/>
  <c r="T9" i="4"/>
  <c r="T14" i="4"/>
  <c r="T7" i="4"/>
  <c r="T16" i="4"/>
  <c r="T19" i="4"/>
  <c r="T6" i="4"/>
  <c r="S1199" i="3"/>
  <c r="S1197" i="3"/>
  <c r="S1198" i="3"/>
  <c r="S1200" i="3"/>
  <c r="S1201" i="3"/>
  <c r="P2" i="4"/>
  <c r="I2" i="4"/>
  <c r="S1095" i="3"/>
  <c r="S479" i="3"/>
  <c r="S999" i="3"/>
  <c r="S173" i="3"/>
  <c r="S745" i="3"/>
  <c r="S554" i="3"/>
  <c r="S809" i="3"/>
  <c r="S907" i="3"/>
  <c r="S889" i="3"/>
  <c r="S960" i="3"/>
  <c r="S36" i="3"/>
  <c r="S1060" i="3"/>
  <c r="S773" i="3"/>
  <c r="S326" i="3"/>
  <c r="S9" i="3"/>
  <c r="S177" i="3"/>
  <c r="S1119" i="3"/>
  <c r="S895" i="3"/>
  <c r="S664" i="3"/>
  <c r="S67" i="3"/>
  <c r="S1152" i="3"/>
  <c r="S1038" i="3"/>
  <c r="S884" i="3"/>
  <c r="S659" i="3"/>
  <c r="S141" i="3"/>
  <c r="S205" i="3"/>
  <c r="S1144" i="3"/>
  <c r="S1091" i="3"/>
  <c r="S1184" i="3"/>
  <c r="S1174" i="3"/>
  <c r="S1031" i="3"/>
  <c r="S995" i="3"/>
  <c r="S943" i="3"/>
  <c r="S879" i="3"/>
  <c r="S864" i="3"/>
  <c r="S805" i="3"/>
  <c r="S769" i="3"/>
  <c r="S832" i="3"/>
  <c r="S741" i="3"/>
  <c r="S559" i="3"/>
  <c r="S418" i="3"/>
  <c r="S682" i="3"/>
  <c r="S182" i="3"/>
  <c r="S95" i="3"/>
  <c r="S680" i="3"/>
  <c r="S897" i="3"/>
  <c r="S169" i="3"/>
  <c r="S1189" i="3"/>
  <c r="S1078" i="3"/>
  <c r="S1054" i="3"/>
  <c r="S1017" i="3"/>
  <c r="S983" i="3"/>
  <c r="S965" i="3"/>
  <c r="S954" i="3"/>
  <c r="S826" i="3"/>
  <c r="S793" i="3"/>
  <c r="S881" i="3"/>
  <c r="S683" i="3"/>
  <c r="S546" i="3"/>
  <c r="S397" i="3"/>
  <c r="S206" i="3"/>
  <c r="S1179" i="3"/>
  <c r="S338" i="3"/>
  <c r="S981" i="3"/>
  <c r="S353" i="3"/>
  <c r="S55" i="3"/>
  <c r="S389" i="3"/>
  <c r="S107" i="3"/>
  <c r="S1120" i="3"/>
  <c r="S1169" i="3"/>
  <c r="S1105" i="3"/>
  <c r="S124" i="3"/>
  <c r="S1181" i="3"/>
  <c r="S1112" i="3"/>
  <c r="S1074" i="3"/>
  <c r="S1133" i="3"/>
  <c r="S1050" i="3"/>
  <c r="S1013" i="3"/>
  <c r="S979" i="3"/>
  <c r="S948" i="3"/>
  <c r="S936" i="3"/>
  <c r="S822" i="3"/>
  <c r="S789" i="3"/>
  <c r="S749" i="3"/>
  <c r="S761" i="3"/>
  <c r="S541" i="3"/>
  <c r="S366" i="3"/>
  <c r="S441" i="3"/>
  <c r="S1049" i="3"/>
  <c r="S877" i="3"/>
  <c r="S698" i="3"/>
  <c r="S494" i="3"/>
  <c r="S400" i="3"/>
  <c r="S932" i="3"/>
  <c r="S203" i="3"/>
  <c r="S1140" i="3"/>
  <c r="S368" i="3"/>
  <c r="S1106" i="3"/>
  <c r="S57" i="3"/>
  <c r="S233" i="3"/>
  <c r="S138" i="3"/>
  <c r="S96" i="3"/>
  <c r="S143" i="3"/>
  <c r="S62" i="3"/>
  <c r="S493" i="3"/>
  <c r="S139" i="3"/>
  <c r="S716" i="3"/>
  <c r="S208" i="3"/>
  <c r="S88" i="3"/>
  <c r="S896" i="3"/>
  <c r="S161" i="3"/>
  <c r="S3" i="3"/>
  <c r="S405" i="3"/>
  <c r="S22" i="3"/>
  <c r="S178" i="3"/>
  <c r="S38" i="3"/>
  <c r="S116" i="3"/>
  <c r="S123" i="3"/>
  <c r="S21" i="3"/>
  <c r="S23" i="3"/>
  <c r="S220" i="3"/>
  <c r="S159" i="3"/>
  <c r="S216" i="3"/>
  <c r="S212" i="3"/>
  <c r="S280" i="3"/>
  <c r="S230" i="3"/>
  <c r="S246" i="3"/>
  <c r="S412" i="3"/>
  <c r="S447" i="3"/>
  <c r="S480" i="3"/>
  <c r="S511" i="3"/>
  <c r="S298" i="3"/>
  <c r="S315" i="3"/>
  <c r="S331" i="3"/>
  <c r="S349" i="3"/>
  <c r="S367" i="3"/>
  <c r="S384" i="3"/>
  <c r="S413" i="3"/>
  <c r="S481" i="3"/>
  <c r="S670" i="3"/>
  <c r="S553" i="3"/>
  <c r="S433" i="3"/>
  <c r="S500" i="3"/>
  <c r="S542" i="3"/>
  <c r="S649" i="3"/>
  <c r="S612" i="3"/>
  <c r="S567" i="3"/>
  <c r="S759" i="3"/>
  <c r="S647" i="3"/>
  <c r="S714" i="3"/>
  <c r="S620" i="3"/>
  <c r="S687" i="3"/>
  <c r="S755" i="3"/>
  <c r="S618" i="3"/>
  <c r="S685" i="3"/>
  <c r="S753" i="3"/>
  <c r="S865" i="3"/>
  <c r="S937" i="3"/>
  <c r="S774" i="3"/>
  <c r="S790" i="3"/>
  <c r="S806" i="3"/>
  <c r="S823" i="3"/>
  <c r="S868" i="3"/>
  <c r="S941" i="3"/>
  <c r="S883" i="3"/>
  <c r="S953" i="3"/>
  <c r="S947" i="3"/>
  <c r="S980" i="3"/>
  <c r="S996" i="3"/>
  <c r="S1014" i="3"/>
  <c r="S1035" i="3"/>
  <c r="S1051" i="3"/>
  <c r="S1182" i="3"/>
  <c r="S1141" i="3"/>
  <c r="S1192" i="3"/>
  <c r="S1075" i="3"/>
  <c r="S1092" i="3"/>
  <c r="S1114" i="3"/>
  <c r="S1146" i="3"/>
  <c r="S1183" i="3"/>
  <c r="S236" i="3"/>
  <c r="S136" i="3"/>
  <c r="S69" i="3"/>
  <c r="S644" i="3"/>
  <c r="S105" i="3"/>
  <c r="S289" i="3"/>
  <c r="S35" i="3"/>
  <c r="S60" i="3"/>
  <c r="S72" i="3"/>
  <c r="S50" i="3"/>
  <c r="S33" i="3"/>
  <c r="S58" i="3"/>
  <c r="S122" i="3"/>
  <c r="S75" i="3"/>
  <c r="S25" i="3"/>
  <c r="S51" i="3"/>
  <c r="S39" i="3"/>
  <c r="S705" i="3"/>
  <c r="S49" i="3"/>
  <c r="S195" i="3"/>
  <c r="S520" i="3"/>
  <c r="S263" i="3"/>
  <c r="S606" i="3"/>
  <c r="S455" i="3"/>
  <c r="S497" i="3"/>
  <c r="S294" i="3"/>
  <c r="S319" i="3"/>
  <c r="S340" i="3"/>
  <c r="S363" i="3"/>
  <c r="S388" i="3"/>
  <c r="S448" i="3"/>
  <c r="S531" i="3"/>
  <c r="S561" i="3"/>
  <c r="S467" i="3"/>
  <c r="S592" i="3"/>
  <c r="S717" i="3"/>
  <c r="S729" i="3"/>
  <c r="S690" i="3"/>
  <c r="S663" i="3"/>
  <c r="S748" i="3"/>
  <c r="S671" i="3"/>
  <c r="S836" i="3"/>
  <c r="S652" i="3"/>
  <c r="S736" i="3"/>
  <c r="S885" i="3"/>
  <c r="S766" i="3"/>
  <c r="S786" i="3"/>
  <c r="S810" i="3"/>
  <c r="S834" i="3"/>
  <c r="S924" i="3"/>
  <c r="S901" i="3"/>
  <c r="S913" i="3"/>
  <c r="S976" i="3"/>
  <c r="S1000" i="3"/>
  <c r="S1022" i="3"/>
  <c r="S1047" i="3"/>
  <c r="S1127" i="3"/>
  <c r="S1123" i="3"/>
  <c r="S1071" i="3"/>
  <c r="S1096" i="3"/>
  <c r="S1130" i="3"/>
  <c r="S1175" i="3"/>
  <c r="S200" i="3"/>
  <c r="S103" i="3"/>
  <c r="S16" i="3"/>
  <c r="S219" i="3"/>
  <c r="S112" i="3"/>
  <c r="S1027" i="3"/>
  <c r="S252" i="3"/>
  <c r="S198" i="3"/>
  <c r="S267" i="3"/>
  <c r="S282" i="3"/>
  <c r="S432" i="3"/>
  <c r="S466" i="3"/>
  <c r="S499" i="3"/>
  <c r="S291" i="3"/>
  <c r="S307" i="3"/>
  <c r="S324" i="3"/>
  <c r="S341" i="3"/>
  <c r="S360" i="3"/>
  <c r="S377" i="3"/>
  <c r="S394" i="3"/>
  <c r="S452" i="3"/>
  <c r="S519" i="3"/>
  <c r="S530" i="3"/>
  <c r="S686" i="3"/>
  <c r="S471" i="3"/>
  <c r="S537" i="3"/>
  <c r="S573" i="3"/>
  <c r="S572" i="3"/>
  <c r="S746" i="3"/>
  <c r="S640" i="3"/>
  <c r="S617" i="3"/>
  <c r="S684" i="3"/>
  <c r="S752" i="3"/>
  <c r="S658" i="3"/>
  <c r="S726" i="3"/>
  <c r="S872" i="3"/>
  <c r="S656" i="3"/>
  <c r="S724" i="3"/>
  <c r="S835" i="3"/>
  <c r="S908" i="3"/>
  <c r="S767" i="3"/>
  <c r="S783" i="3"/>
  <c r="S799" i="3"/>
  <c r="S815" i="3"/>
  <c r="S838" i="3"/>
  <c r="S911" i="3"/>
  <c r="S850" i="3"/>
  <c r="S922" i="3"/>
  <c r="S917" i="3"/>
  <c r="S973" i="3"/>
  <c r="S989" i="3"/>
  <c r="S1006" i="3"/>
  <c r="S1023" i="3"/>
  <c r="S1044" i="3"/>
  <c r="S1121" i="3"/>
  <c r="S1171" i="3"/>
  <c r="S1131" i="3"/>
  <c r="S1066" i="3"/>
  <c r="S1084" i="3"/>
  <c r="S1101" i="3"/>
  <c r="S1132" i="3"/>
  <c r="S1167" i="3"/>
  <c r="S225" i="3"/>
  <c r="S132" i="3"/>
  <c r="S65" i="3"/>
  <c r="S1067" i="3"/>
  <c r="S335" i="3"/>
  <c r="S108" i="3"/>
  <c r="S951" i="3"/>
  <c r="S192" i="3"/>
  <c r="S117" i="3"/>
  <c r="S46" i="3"/>
  <c r="S594" i="3"/>
  <c r="S91" i="3"/>
  <c r="S209" i="3"/>
  <c r="S118" i="3"/>
  <c r="S47" i="3"/>
  <c r="S1008" i="3"/>
  <c r="S17" i="3"/>
  <c r="S187" i="3"/>
  <c r="S256" i="3"/>
  <c r="S202" i="3"/>
  <c r="S271" i="3"/>
  <c r="S286" i="3"/>
  <c r="S434" i="3"/>
  <c r="S468" i="3"/>
  <c r="S515" i="3"/>
  <c r="S292" i="3"/>
  <c r="S308" i="3"/>
  <c r="S325" i="3"/>
  <c r="S343" i="3"/>
  <c r="S361" i="3"/>
  <c r="S378" i="3"/>
  <c r="S395" i="3"/>
  <c r="S456" i="3"/>
  <c r="S523" i="3"/>
  <c r="S534" i="3"/>
  <c r="S754" i="3"/>
  <c r="S475" i="3"/>
  <c r="S574" i="3"/>
  <c r="S577" i="3"/>
  <c r="S576" i="3"/>
  <c r="S763" i="3"/>
  <c r="S657" i="3"/>
  <c r="S621" i="3"/>
  <c r="S688" i="3"/>
  <c r="S756" i="3"/>
  <c r="S662" i="3"/>
  <c r="S730" i="3"/>
  <c r="S890" i="3"/>
  <c r="S660" i="3"/>
  <c r="S728" i="3"/>
  <c r="S71" i="3"/>
  <c r="S110" i="3"/>
  <c r="S121" i="3"/>
  <c r="S19" i="3"/>
  <c r="S92" i="3"/>
  <c r="S167" i="3"/>
  <c r="S93" i="3"/>
  <c r="S245" i="3"/>
  <c r="S145" i="3"/>
  <c r="S89" i="3"/>
  <c r="S7" i="3"/>
  <c r="S237" i="3"/>
  <c r="S179" i="3"/>
  <c r="S194" i="3"/>
  <c r="S262" i="3"/>
  <c r="S438" i="3"/>
  <c r="S570" i="3"/>
  <c r="S306" i="3"/>
  <c r="S336" i="3"/>
  <c r="S372" i="3"/>
  <c r="S398" i="3"/>
  <c r="S514" i="3"/>
  <c r="S619" i="3"/>
  <c r="S516" i="3"/>
  <c r="S586" i="3"/>
  <c r="S550" i="3"/>
  <c r="S613" i="3"/>
  <c r="S731" i="3"/>
  <c r="S704" i="3"/>
  <c r="S601" i="3"/>
  <c r="S720" i="3"/>
  <c r="S904" i="3"/>
  <c r="S778" i="3"/>
  <c r="S802" i="3"/>
  <c r="S851" i="3"/>
  <c r="S846" i="3"/>
  <c r="S894" i="3"/>
  <c r="S984" i="3"/>
  <c r="S1010" i="3"/>
  <c r="S1043" i="3"/>
  <c r="S1160" i="3"/>
  <c r="S1061" i="3"/>
  <c r="S1087" i="3"/>
  <c r="S1138" i="3"/>
  <c r="S119" i="3"/>
  <c r="S853" i="3"/>
  <c r="S196" i="3"/>
  <c r="S5" i="3"/>
  <c r="S268" i="3"/>
  <c r="S234" i="3"/>
  <c r="S266" i="3"/>
  <c r="S440" i="3"/>
  <c r="S482" i="3"/>
  <c r="S507" i="3"/>
  <c r="S312" i="3"/>
  <c r="S332" i="3"/>
  <c r="S354" i="3"/>
  <c r="S381" i="3"/>
  <c r="S417" i="3"/>
  <c r="S502" i="3"/>
  <c r="S547" i="3"/>
  <c r="S437" i="3"/>
  <c r="S521" i="3"/>
  <c r="S589" i="3"/>
  <c r="S616" i="3"/>
  <c r="S585" i="3"/>
  <c r="S634" i="3"/>
  <c r="S719" i="3"/>
  <c r="S641" i="3"/>
  <c r="S742" i="3"/>
  <c r="S622" i="3"/>
  <c r="S707" i="3"/>
  <c r="S852" i="3"/>
  <c r="S942" i="3"/>
  <c r="S779" i="3"/>
  <c r="S803" i="3"/>
  <c r="S824" i="3"/>
  <c r="S892" i="3"/>
  <c r="S867" i="3"/>
  <c r="S957" i="3"/>
  <c r="S968" i="3"/>
  <c r="S993" i="3"/>
  <c r="S1015" i="3"/>
  <c r="S1040" i="3"/>
  <c r="S1153" i="3"/>
  <c r="S1149" i="3"/>
  <c r="S1062" i="3"/>
  <c r="S1088" i="3"/>
  <c r="S1116" i="3"/>
  <c r="S1156" i="3"/>
  <c r="S189" i="3"/>
  <c r="S99" i="3"/>
  <c r="S12" i="3"/>
  <c r="S265" i="3"/>
  <c r="S29" i="3"/>
  <c r="S228" i="3"/>
  <c r="S101" i="3"/>
  <c r="S14" i="3"/>
  <c r="S1102" i="3"/>
  <c r="S176" i="3"/>
  <c r="S85" i="3"/>
  <c r="S52" i="3"/>
  <c r="S939" i="3"/>
  <c r="S223" i="3"/>
  <c r="S186" i="3"/>
  <c r="S287" i="3"/>
  <c r="S416" i="3"/>
  <c r="S460" i="3"/>
  <c r="S653" i="3"/>
  <c r="S300" i="3"/>
  <c r="S321" i="3"/>
  <c r="S347" i="3"/>
  <c r="S369" i="3"/>
  <c r="S391" i="3"/>
  <c r="S473" i="3"/>
  <c r="S501" i="3"/>
  <c r="S602" i="3"/>
  <c r="S491" i="3"/>
  <c r="S544" i="3"/>
  <c r="S750" i="3"/>
  <c r="S558" i="3"/>
  <c r="S587" i="3"/>
  <c r="S672" i="3"/>
  <c r="S862" i="3"/>
  <c r="S695" i="3"/>
  <c r="S858" i="3"/>
  <c r="S677" i="3"/>
  <c r="S762" i="3"/>
  <c r="S875" i="3"/>
  <c r="S946" i="3"/>
  <c r="S776" i="3"/>
  <c r="S792" i="3"/>
  <c r="S808" i="3"/>
  <c r="S825" i="3"/>
  <c r="S880" i="3"/>
  <c r="S949" i="3"/>
  <c r="S891" i="3"/>
  <c r="S961" i="3"/>
  <c r="S956" i="3"/>
  <c r="S982" i="3"/>
  <c r="S998" i="3"/>
  <c r="S1016" i="3"/>
  <c r="S1037" i="3"/>
  <c r="S1053" i="3"/>
  <c r="S1111" i="3"/>
  <c r="S1157" i="3"/>
  <c r="S1059" i="3"/>
  <c r="S1077" i="3"/>
  <c r="S1094" i="3"/>
  <c r="S1118" i="3"/>
  <c r="S1150" i="3"/>
  <c r="S1187" i="3"/>
  <c r="S184" i="3"/>
  <c r="S111" i="3"/>
  <c r="S40" i="3"/>
  <c r="S211" i="3"/>
  <c r="S232" i="3"/>
  <c r="S66" i="3"/>
  <c r="S277" i="3"/>
  <c r="S214" i="3"/>
  <c r="S130" i="3"/>
  <c r="S61" i="3"/>
  <c r="S566" i="3"/>
  <c r="S83" i="3"/>
  <c r="S241" i="3"/>
  <c r="S131" i="3"/>
  <c r="S64" i="3"/>
  <c r="S147" i="3"/>
  <c r="S1005" i="3"/>
  <c r="S74" i="3"/>
  <c r="S175" i="3"/>
  <c r="S244" i="3"/>
  <c r="S190" i="3"/>
  <c r="S259" i="3"/>
  <c r="S274" i="3"/>
  <c r="S428" i="3"/>
  <c r="S462" i="3"/>
  <c r="S495" i="3"/>
  <c r="S540" i="3"/>
  <c r="S305" i="3"/>
  <c r="S322" i="3"/>
  <c r="S339" i="3"/>
  <c r="S358" i="3"/>
  <c r="S375" i="3"/>
  <c r="S392" i="3"/>
  <c r="S444" i="3"/>
  <c r="S510" i="3"/>
  <c r="S522" i="3"/>
  <c r="S611" i="3"/>
  <c r="S463" i="3"/>
  <c r="S529" i="3"/>
  <c r="S564" i="3"/>
  <c r="S563" i="3"/>
  <c r="S712" i="3"/>
  <c r="S593" i="3"/>
  <c r="S609" i="3"/>
  <c r="S676" i="3"/>
  <c r="S743" i="3"/>
  <c r="S650" i="3"/>
  <c r="S718" i="3"/>
  <c r="S876" i="3"/>
  <c r="S240" i="3"/>
  <c r="S715" i="3"/>
  <c r="S886" i="3"/>
  <c r="S899" i="3"/>
  <c r="S967" i="3"/>
  <c r="S781" i="3"/>
  <c r="S77" i="3"/>
  <c r="S273" i="3"/>
  <c r="S151" i="3"/>
  <c r="S269" i="3"/>
  <c r="S129" i="3"/>
  <c r="S1158" i="3"/>
  <c r="S285" i="3"/>
  <c r="S142" i="3"/>
  <c r="S608" i="3"/>
  <c r="S424" i="3"/>
  <c r="S1173" i="3"/>
  <c r="S125" i="3"/>
  <c r="S231" i="3"/>
  <c r="S210" i="3"/>
  <c r="S278" i="3"/>
  <c r="S464" i="3"/>
  <c r="S406" i="3"/>
  <c r="S311" i="3"/>
  <c r="S345" i="3"/>
  <c r="S376" i="3"/>
  <c r="S431" i="3"/>
  <c r="S509" i="3"/>
  <c r="S415" i="3"/>
  <c r="S533" i="3"/>
  <c r="S568" i="3"/>
  <c r="S582" i="3"/>
  <c r="S630" i="3"/>
  <c r="S765" i="3"/>
  <c r="S722" i="3"/>
  <c r="S635" i="3"/>
  <c r="S837" i="3"/>
  <c r="S920" i="3"/>
  <c r="S782" i="3"/>
  <c r="S814" i="3"/>
  <c r="S888" i="3"/>
  <c r="S863" i="3"/>
  <c r="S930" i="3"/>
  <c r="S988" i="3"/>
  <c r="S1018" i="3"/>
  <c r="S1055" i="3"/>
  <c r="S1109" i="3"/>
  <c r="S1065" i="3"/>
  <c r="S1100" i="3"/>
  <c r="S1154" i="3"/>
  <c r="S86" i="3"/>
  <c r="S1194" i="3"/>
  <c r="S163" i="3"/>
  <c r="S183" i="3"/>
  <c r="S284" i="3"/>
  <c r="S251" i="3"/>
  <c r="S401" i="3"/>
  <c r="S449" i="3"/>
  <c r="S490" i="3"/>
  <c r="S295" i="3"/>
  <c r="S316" i="3"/>
  <c r="S337" i="3"/>
  <c r="S364" i="3"/>
  <c r="S385" i="3"/>
  <c r="S435" i="3"/>
  <c r="S535" i="3"/>
  <c r="S555" i="3"/>
  <c r="S454" i="3"/>
  <c r="S636" i="3"/>
  <c r="S666" i="3"/>
  <c r="S678" i="3"/>
  <c r="S708" i="3"/>
  <c r="S651" i="3"/>
  <c r="S735" i="3"/>
  <c r="S675" i="3"/>
  <c r="S760" i="3"/>
  <c r="S639" i="3"/>
  <c r="S740" i="3"/>
  <c r="S871" i="3"/>
  <c r="S959" i="3"/>
  <c r="S787" i="3"/>
  <c r="S807" i="3"/>
  <c r="S828" i="3"/>
  <c r="S928" i="3"/>
  <c r="S887" i="3"/>
  <c r="S900" i="3"/>
  <c r="S977" i="3"/>
  <c r="S997" i="3"/>
  <c r="S1019" i="3"/>
  <c r="S1048" i="3"/>
  <c r="S1190" i="3"/>
  <c r="S1186" i="3"/>
  <c r="S1072" i="3"/>
  <c r="S1093" i="3"/>
  <c r="S1124" i="3"/>
  <c r="S1177" i="3"/>
  <c r="S168" i="3"/>
  <c r="S82" i="3"/>
  <c r="S903" i="3"/>
  <c r="S180" i="3"/>
  <c r="S170" i="3"/>
  <c r="S84" i="3"/>
  <c r="S1168" i="3"/>
  <c r="S56" i="3"/>
  <c r="S153" i="3"/>
  <c r="S68" i="3"/>
  <c r="S744" i="3"/>
  <c r="S201" i="3"/>
  <c r="S165" i="3"/>
  <c r="S239" i="3"/>
  <c r="S222" i="3"/>
  <c r="S254" i="3"/>
  <c r="S425" i="3"/>
  <c r="S476" i="3"/>
  <c r="S721" i="3"/>
  <c r="S304" i="3"/>
  <c r="S329" i="3"/>
  <c r="S351" i="3"/>
  <c r="S374" i="3"/>
  <c r="S403" i="3"/>
  <c r="S489" i="3"/>
  <c r="S517" i="3"/>
  <c r="S423" i="3"/>
  <c r="S508" i="3"/>
  <c r="S560" i="3"/>
  <c r="S603" i="3"/>
  <c r="S575" i="3"/>
  <c r="S604" i="3"/>
  <c r="S706" i="3"/>
  <c r="S629" i="3"/>
  <c r="S713" i="3"/>
  <c r="S610" i="3"/>
  <c r="S693" i="3"/>
  <c r="S866" i="3"/>
  <c r="S893" i="3"/>
  <c r="S963" i="3"/>
  <c r="S780" i="3"/>
  <c r="S796" i="3"/>
  <c r="S812" i="3"/>
  <c r="S829" i="3"/>
  <c r="S898" i="3"/>
  <c r="S966" i="3"/>
  <c r="S910" i="3"/>
  <c r="S905" i="3"/>
  <c r="S969" i="3"/>
  <c r="S986" i="3"/>
  <c r="S1002" i="3"/>
  <c r="S1020" i="3"/>
  <c r="S1041" i="3"/>
  <c r="S1057" i="3"/>
  <c r="S1143" i="3"/>
  <c r="S1107" i="3"/>
  <c r="S1063" i="3"/>
  <c r="S1081" i="3"/>
  <c r="S1098" i="3"/>
  <c r="S1126" i="3"/>
  <c r="S1159" i="3"/>
  <c r="S162" i="3"/>
  <c r="S94" i="3"/>
  <c r="S24" i="3"/>
  <c r="S427" i="3"/>
  <c r="S172" i="3"/>
  <c r="S13" i="3"/>
  <c r="S181" i="3"/>
  <c r="S113" i="3"/>
  <c r="S42" i="3"/>
  <c r="S1069" i="3"/>
  <c r="S45" i="3"/>
  <c r="S204" i="3"/>
  <c r="S114" i="3"/>
  <c r="S43" i="3"/>
  <c r="S869" i="3"/>
  <c r="S281" i="3"/>
  <c r="S309" i="3"/>
  <c r="S188" i="3"/>
  <c r="S156" i="3"/>
  <c r="S197" i="3"/>
  <c r="S157" i="3"/>
  <c r="S1166" i="3"/>
  <c r="S264" i="3"/>
  <c r="S430" i="3"/>
  <c r="S302" i="3"/>
  <c r="S359" i="3"/>
  <c r="S498" i="3"/>
  <c r="S483" i="3"/>
  <c r="S661" i="3"/>
  <c r="S696" i="3"/>
  <c r="S854" i="3"/>
  <c r="S848" i="3"/>
  <c r="S798" i="3"/>
  <c r="S958" i="3"/>
  <c r="S972" i="3"/>
  <c r="S1039" i="3"/>
  <c r="S1155" i="3"/>
  <c r="S1122" i="3"/>
  <c r="S32" i="3"/>
  <c r="S37" i="3"/>
  <c r="S215" i="3"/>
  <c r="S422" i="3"/>
  <c r="S528" i="3"/>
  <c r="S328" i="3"/>
  <c r="S373" i="3"/>
  <c r="S485" i="3"/>
  <c r="S419" i="3"/>
  <c r="S556" i="3"/>
  <c r="S571" i="3"/>
  <c r="S700" i="3"/>
  <c r="S709" i="3"/>
  <c r="S689" i="3"/>
  <c r="S925" i="3"/>
  <c r="S795" i="3"/>
  <c r="S874" i="3"/>
  <c r="S940" i="3"/>
  <c r="S985" i="3"/>
  <c r="S1036" i="3"/>
  <c r="S1117" i="3"/>
  <c r="S1080" i="3"/>
  <c r="S1148" i="3"/>
  <c r="S115" i="3"/>
  <c r="S54" i="3"/>
  <c r="S253" i="3"/>
  <c r="S30" i="3"/>
  <c r="S257" i="3"/>
  <c r="S15" i="3"/>
  <c r="S137" i="3"/>
  <c r="S272" i="3"/>
  <c r="S270" i="3"/>
  <c r="S484" i="3"/>
  <c r="S313" i="3"/>
  <c r="S355" i="3"/>
  <c r="S421" i="3"/>
  <c r="S549" i="3"/>
  <c r="S525" i="3"/>
  <c r="S628" i="3"/>
  <c r="S638" i="3"/>
  <c r="S646" i="3"/>
  <c r="S627" i="3"/>
  <c r="S839" i="3"/>
  <c r="S768" i="3"/>
  <c r="S800" i="3"/>
  <c r="S843" i="3"/>
  <c r="S855" i="3"/>
  <c r="S921" i="3"/>
  <c r="S990" i="3"/>
  <c r="S1024" i="3"/>
  <c r="S1129" i="3"/>
  <c r="S1139" i="3"/>
  <c r="S1085" i="3"/>
  <c r="S1134" i="3"/>
  <c r="S261" i="3"/>
  <c r="S78" i="3"/>
  <c r="S817" i="3"/>
  <c r="S1025" i="3"/>
  <c r="S249" i="3"/>
  <c r="S80" i="3"/>
  <c r="S623" i="3"/>
  <c r="S149" i="3"/>
  <c r="S11" i="3"/>
  <c r="S133" i="3"/>
  <c r="S191" i="3"/>
  <c r="S276" i="3"/>
  <c r="S243" i="3"/>
  <c r="S290" i="3"/>
  <c r="S445" i="3"/>
  <c r="S486" i="3"/>
  <c r="S293" i="3"/>
  <c r="S314" i="3"/>
  <c r="S334" i="3"/>
  <c r="S362" i="3"/>
  <c r="S383" i="3"/>
  <c r="S426" i="3"/>
  <c r="S527" i="3"/>
  <c r="S551" i="3"/>
  <c r="S193" i="3"/>
  <c r="S106" i="3"/>
  <c r="S18" i="3"/>
  <c r="S120" i="3"/>
  <c r="S109" i="3"/>
  <c r="S199" i="3"/>
  <c r="S357" i="3"/>
  <c r="S247" i="3"/>
  <c r="S472" i="3"/>
  <c r="S323" i="3"/>
  <c r="S380" i="3"/>
  <c r="S526" i="3"/>
  <c r="S552" i="3"/>
  <c r="S624" i="3"/>
  <c r="S637" i="3"/>
  <c r="S669" i="3"/>
  <c r="S955" i="3"/>
  <c r="S819" i="3"/>
  <c r="S918" i="3"/>
  <c r="S992" i="3"/>
  <c r="S1113" i="3"/>
  <c r="S1079" i="3"/>
  <c r="S1163" i="3"/>
  <c r="S174" i="3"/>
  <c r="S1034" i="3"/>
  <c r="S217" i="3"/>
  <c r="S283" i="3"/>
  <c r="S457" i="3"/>
  <c r="S299" i="3"/>
  <c r="S346" i="3"/>
  <c r="S390" i="3"/>
  <c r="S737" i="3"/>
  <c r="S487" i="3"/>
  <c r="S733" i="3"/>
  <c r="S583" i="3"/>
  <c r="S845" i="3"/>
  <c r="S840" i="3"/>
  <c r="S757" i="3"/>
  <c r="S771" i="3"/>
  <c r="S811" i="3"/>
  <c r="S945" i="3"/>
  <c r="S934" i="3"/>
  <c r="S1001" i="3"/>
  <c r="S1052" i="3"/>
  <c r="S1165" i="3"/>
  <c r="S1097" i="3"/>
  <c r="S1185" i="3"/>
  <c r="S44" i="3"/>
  <c r="S155" i="3"/>
  <c r="S152" i="3"/>
  <c r="S1033" i="3"/>
  <c r="S135" i="3"/>
  <c r="S356" i="3"/>
  <c r="S87" i="3"/>
  <c r="S288" i="3"/>
  <c r="S407" i="3"/>
  <c r="S492" i="3"/>
  <c r="S317" i="3"/>
  <c r="S365" i="3"/>
  <c r="S439" i="3"/>
  <c r="S557" i="3"/>
  <c r="S702" i="3"/>
  <c r="S694" i="3"/>
  <c r="S655" i="3"/>
  <c r="S679" i="3"/>
  <c r="S643" i="3"/>
  <c r="S857" i="3"/>
  <c r="S772" i="3"/>
  <c r="S804" i="3"/>
  <c r="S860" i="3"/>
  <c r="S873" i="3"/>
  <c r="S938" i="3"/>
  <c r="S994" i="3"/>
  <c r="S1030" i="3"/>
  <c r="S1162" i="3"/>
  <c r="S1176" i="3"/>
  <c r="S1090" i="3"/>
  <c r="S1142" i="3"/>
  <c r="S218" i="3"/>
  <c r="S59" i="3"/>
  <c r="S971" i="3"/>
  <c r="S63" i="3"/>
  <c r="S164" i="3"/>
  <c r="S26" i="3"/>
  <c r="S878" i="3"/>
  <c r="S98" i="3"/>
  <c r="S923" i="3"/>
  <c r="S1089" i="3"/>
  <c r="S207" i="3"/>
  <c r="S404" i="3"/>
  <c r="S275" i="3"/>
  <c r="S409" i="3"/>
  <c r="S453" i="3"/>
  <c r="S532" i="3"/>
  <c r="S297" i="3"/>
  <c r="S318" i="3"/>
  <c r="S344" i="3"/>
  <c r="S213" i="3"/>
  <c r="S160" i="3"/>
  <c r="S410" i="3"/>
  <c r="S229" i="3"/>
  <c r="S6" i="3"/>
  <c r="S870" i="3"/>
  <c r="S279" i="3"/>
  <c r="S488" i="3"/>
  <c r="S327" i="3"/>
  <c r="S393" i="3"/>
  <c r="S545" i="3"/>
  <c r="S569" i="3"/>
  <c r="S596" i="3"/>
  <c r="S654" i="3"/>
  <c r="S701" i="3"/>
  <c r="S770" i="3"/>
  <c r="S827" i="3"/>
  <c r="S935" i="3"/>
  <c r="S1004" i="3"/>
  <c r="S1145" i="3"/>
  <c r="S1083" i="3"/>
  <c r="S1191" i="3"/>
  <c r="S154" i="3"/>
  <c r="S1164" i="3"/>
  <c r="S459" i="3"/>
  <c r="S235" i="3"/>
  <c r="S250" i="3"/>
  <c r="S474" i="3"/>
  <c r="S303" i="3"/>
  <c r="S350" i="3"/>
  <c r="S399" i="3"/>
  <c r="S513" i="3"/>
  <c r="S504" i="3"/>
  <c r="S599" i="3"/>
  <c r="S600" i="3"/>
  <c r="S625" i="3"/>
  <c r="S605" i="3"/>
  <c r="S849" i="3"/>
  <c r="S775" i="3"/>
  <c r="S820" i="3"/>
  <c r="S962" i="3"/>
  <c r="S952" i="3"/>
  <c r="S1011" i="3"/>
  <c r="S1056" i="3"/>
  <c r="S1196" i="3"/>
  <c r="S1108" i="3"/>
  <c r="S1193" i="3"/>
  <c r="S28" i="3"/>
  <c r="S79" i="3"/>
  <c r="S134" i="3"/>
  <c r="S518" i="3"/>
  <c r="S102" i="3"/>
  <c r="S53" i="3"/>
  <c r="S171" i="3"/>
  <c r="S238" i="3"/>
  <c r="S443" i="3"/>
  <c r="S524" i="3"/>
  <c r="S333" i="3"/>
  <c r="S382" i="3"/>
  <c r="S506" i="3"/>
  <c r="S442" i="3"/>
  <c r="S595" i="3"/>
  <c r="S590" i="3"/>
  <c r="S723" i="3"/>
  <c r="S747" i="3"/>
  <c r="S711" i="3"/>
  <c r="S912" i="3"/>
  <c r="S784" i="3"/>
  <c r="S816" i="3"/>
  <c r="S915" i="3"/>
  <c r="S927" i="3"/>
  <c r="S974" i="3"/>
  <c r="S1007" i="3"/>
  <c r="S1045" i="3"/>
  <c r="S1180" i="3"/>
  <c r="S1068" i="3"/>
  <c r="S1103" i="3"/>
  <c r="S1170" i="3"/>
  <c r="S144" i="3"/>
  <c r="S8" i="3"/>
  <c r="S146" i="3"/>
  <c r="S148" i="3"/>
  <c r="S10" i="3"/>
  <c r="S81" i="3"/>
  <c r="S396" i="3"/>
  <c r="S41" i="3"/>
  <c r="S221" i="3"/>
  <c r="S1195" i="3"/>
  <c r="S4" i="3"/>
  <c r="S73" i="3"/>
  <c r="S140" i="3"/>
  <c r="S242" i="3"/>
  <c r="S1172" i="3"/>
  <c r="S1136" i="3"/>
  <c r="S1104" i="3"/>
  <c r="S1086" i="3"/>
  <c r="S1070" i="3"/>
  <c r="S1147" i="3"/>
  <c r="S1188" i="3"/>
  <c r="S1137" i="3"/>
  <c r="S1046" i="3"/>
  <c r="S1026" i="3"/>
  <c r="S1009" i="3"/>
  <c r="S991" i="3"/>
  <c r="S975" i="3"/>
  <c r="S926" i="3"/>
  <c r="S931" i="3"/>
  <c r="S859" i="3"/>
  <c r="S919" i="3"/>
  <c r="S847" i="3"/>
  <c r="S818" i="3"/>
  <c r="S801" i="3"/>
  <c r="S785" i="3"/>
  <c r="S950" i="3"/>
  <c r="S861" i="3"/>
  <c r="S732" i="3"/>
  <c r="S631" i="3"/>
  <c r="S751" i="3"/>
  <c r="S667" i="3"/>
  <c r="S727" i="3"/>
  <c r="S642" i="3"/>
  <c r="S674" i="3"/>
  <c r="S645" i="3"/>
  <c r="S632" i="3"/>
  <c r="S584" i="3"/>
  <c r="S446" i="3"/>
  <c r="S538" i="3"/>
  <c r="S477" i="3"/>
  <c r="S387" i="3"/>
  <c r="S352" i="3"/>
  <c r="S310" i="3"/>
  <c r="S478" i="3"/>
  <c r="S258" i="3"/>
  <c r="S260" i="3"/>
  <c r="S185" i="3"/>
  <c r="S342" i="3"/>
  <c r="S104" i="3"/>
  <c r="S1110" i="3"/>
  <c r="S1012" i="3"/>
  <c r="S821" i="3"/>
  <c r="S764" i="3"/>
  <c r="S458" i="3"/>
  <c r="S296" i="3"/>
  <c r="S1076" i="3"/>
  <c r="S906" i="3"/>
  <c r="S673" i="3"/>
  <c r="S543" i="3"/>
  <c r="S320" i="3"/>
  <c r="S48" i="3"/>
  <c r="S1178" i="3"/>
  <c r="S794" i="3"/>
  <c r="S588" i="3"/>
  <c r="S615" i="3"/>
  <c r="S100" i="3"/>
  <c r="S665" i="3"/>
  <c r="S20" i="3"/>
  <c r="S90" i="3"/>
  <c r="S158" i="3"/>
  <c r="S648" i="3"/>
  <c r="S1161" i="3"/>
  <c r="S1128" i="3"/>
  <c r="S1099" i="3"/>
  <c r="S1082" i="3"/>
  <c r="S1064" i="3"/>
  <c r="S1115" i="3"/>
  <c r="S1151" i="3"/>
  <c r="S1058" i="3"/>
  <c r="S1042" i="3"/>
  <c r="S1021" i="3"/>
  <c r="S1003" i="3"/>
  <c r="S987" i="3"/>
  <c r="S970" i="3"/>
  <c r="S909" i="3"/>
  <c r="S914" i="3"/>
  <c r="S841" i="3"/>
  <c r="S902" i="3"/>
  <c r="S830" i="3"/>
  <c r="S813" i="3"/>
  <c r="S797" i="3"/>
  <c r="S777" i="3"/>
  <c r="S933" i="3"/>
  <c r="S844" i="3"/>
  <c r="S697" i="3"/>
  <c r="S614" i="3"/>
  <c r="S734" i="3"/>
  <c r="S633" i="3"/>
  <c r="S710" i="3"/>
  <c r="S626" i="3"/>
  <c r="S579" i="3"/>
  <c r="S607" i="3"/>
  <c r="S581" i="3"/>
  <c r="S512" i="3"/>
  <c r="S429" i="3"/>
  <c r="S505" i="3"/>
  <c r="S461" i="3"/>
  <c r="S379" i="3"/>
  <c r="S348" i="3"/>
  <c r="S301" i="3"/>
  <c r="S470" i="3"/>
  <c r="S536" i="3"/>
  <c r="S227" i="3"/>
  <c r="S27" i="3"/>
  <c r="S97" i="3"/>
  <c r="S76" i="3"/>
  <c r="S1073" i="3"/>
  <c r="S978" i="3"/>
  <c r="S788" i="3"/>
  <c r="S739" i="3"/>
  <c r="S539" i="3"/>
  <c r="S451" i="3"/>
  <c r="S31" i="3"/>
  <c r="S703" i="3"/>
  <c r="S1135" i="3"/>
  <c r="S856" i="3"/>
  <c r="S691" i="3"/>
  <c r="S578" i="3"/>
  <c r="S598" i="3"/>
  <c r="S1028" i="3"/>
  <c r="S831" i="3"/>
  <c r="S450" i="3"/>
  <c r="S420" i="3"/>
  <c r="S224" i="3"/>
  <c r="S127" i="3"/>
  <c r="S916" i="3"/>
  <c r="S833" i="3"/>
  <c r="S681" i="3"/>
  <c r="S597" i="3"/>
  <c r="S699" i="3"/>
  <c r="S882" i="3"/>
  <c r="S692" i="3"/>
  <c r="S591" i="3"/>
  <c r="S562" i="3"/>
  <c r="S580" i="3"/>
  <c r="S548" i="3"/>
  <c r="S496" i="3"/>
  <c r="S411" i="3"/>
  <c r="S565" i="3"/>
  <c r="S408" i="3"/>
  <c r="S371" i="3"/>
  <c r="S330" i="3"/>
  <c r="S402" i="3"/>
  <c r="S436" i="3"/>
  <c r="S226" i="3"/>
  <c r="S1032" i="3"/>
  <c r="S166" i="3"/>
  <c r="S503" i="3"/>
  <c r="S128" i="3"/>
  <c r="S1125" i="3"/>
  <c r="S944" i="3"/>
  <c r="S929" i="3"/>
  <c r="S725" i="3"/>
  <c r="S386" i="3"/>
  <c r="S255" i="3"/>
  <c r="S758" i="3"/>
  <c r="S150" i="3"/>
  <c r="S1029" i="3"/>
  <c r="S791" i="3"/>
  <c r="S668" i="3"/>
  <c r="S469" i="3"/>
  <c r="S414" i="3"/>
  <c r="S964" i="3"/>
  <c r="S738" i="3"/>
  <c r="S465" i="3"/>
  <c r="S248" i="3"/>
  <c r="S126" i="3"/>
  <c r="S370" i="3"/>
  <c r="S842" i="3"/>
  <c r="S70" i="3"/>
  <c r="S34" i="3"/>
  <c r="C6" i="4"/>
  <c r="M16" i="4" s="1"/>
  <c r="N16" i="4" s="1"/>
  <c r="K18" i="9" s="1"/>
  <c r="D10" i="4" l="1"/>
  <c r="B20" i="10"/>
  <c r="B23" i="10"/>
  <c r="D6" i="4"/>
  <c r="M19" i="4"/>
  <c r="N19" i="4" s="1"/>
  <c r="K21" i="9" s="1"/>
  <c r="M27" i="4"/>
  <c r="N27" i="4" s="1"/>
  <c r="K29" i="9" s="1"/>
  <c r="M24" i="4"/>
  <c r="N24" i="4" s="1"/>
  <c r="K26" i="9" s="1"/>
  <c r="M31" i="4"/>
  <c r="N31" i="4" s="1"/>
  <c r="K33" i="9" s="1"/>
  <c r="M6" i="4"/>
  <c r="N6" i="4" s="1"/>
  <c r="K8" i="9" s="1"/>
  <c r="M22" i="4"/>
  <c r="N22" i="4" s="1"/>
  <c r="K24" i="9" s="1"/>
  <c r="M26" i="4"/>
  <c r="N26" i="4" s="1"/>
  <c r="K28" i="9" s="1"/>
  <c r="M34" i="4"/>
  <c r="N34" i="4" s="1"/>
  <c r="K36" i="9" s="1"/>
  <c r="M14" i="4"/>
  <c r="N14" i="4" s="1"/>
  <c r="K16" i="9" s="1"/>
  <c r="M32" i="4"/>
  <c r="N32" i="4" s="1"/>
  <c r="K34" i="9" s="1"/>
  <c r="M30" i="4"/>
  <c r="N30" i="4" s="1"/>
  <c r="K32" i="9" s="1"/>
  <c r="M8" i="4"/>
  <c r="N8" i="4" s="1"/>
  <c r="K10" i="9" s="1"/>
  <c r="M10" i="4"/>
  <c r="N10" i="4" s="1"/>
  <c r="K12" i="9" s="1"/>
  <c r="M29" i="4"/>
  <c r="N29" i="4" s="1"/>
  <c r="K31" i="9" s="1"/>
  <c r="M13" i="4"/>
  <c r="N13" i="4" s="1"/>
  <c r="K15" i="9" s="1"/>
  <c r="M11" i="4"/>
  <c r="N11" i="4" s="1"/>
  <c r="K13" i="9" s="1"/>
  <c r="M7" i="4"/>
  <c r="N7" i="4" s="1"/>
  <c r="K9" i="9" s="1"/>
  <c r="M9" i="4"/>
  <c r="N9" i="4" s="1"/>
  <c r="K11" i="9" s="1"/>
  <c r="M23" i="4"/>
  <c r="N23" i="4" s="1"/>
  <c r="K25" i="9" s="1"/>
  <c r="M28" i="4"/>
  <c r="N28" i="4" s="1"/>
  <c r="K30" i="9" s="1"/>
  <c r="M21" i="4"/>
  <c r="N21" i="4" s="1"/>
  <c r="K23" i="9" s="1"/>
  <c r="M17" i="4"/>
  <c r="N17" i="4" s="1"/>
  <c r="K19" i="9" s="1"/>
  <c r="M18" i="4"/>
  <c r="N18" i="4" s="1"/>
  <c r="K20" i="9" s="1"/>
  <c r="M25" i="4"/>
  <c r="N25" i="4" s="1"/>
  <c r="K27" i="9" s="1"/>
  <c r="M12" i="4"/>
  <c r="N12" i="4" s="1"/>
  <c r="K14" i="9" s="1"/>
  <c r="M15" i="4"/>
  <c r="N15" i="4" s="1"/>
  <c r="K17" i="9" s="1"/>
  <c r="M35" i="4"/>
  <c r="N35" i="4" s="1"/>
  <c r="K37" i="9" s="1"/>
  <c r="M20" i="4"/>
  <c r="N20" i="4" s="1"/>
  <c r="K22" i="9" s="1"/>
  <c r="M33" i="4"/>
  <c r="N33" i="4" s="1"/>
  <c r="K35" i="9" s="1"/>
  <c r="J19" i="7" l="1"/>
  <c r="J16" i="7"/>
  <c r="J17" i="7"/>
  <c r="J15" i="7"/>
  <c r="J18" i="7"/>
  <c r="J14" i="7"/>
  <c r="B18" i="10"/>
  <c r="K5" i="9"/>
  <c r="L2" i="4"/>
  <c r="J56" i="7"/>
  <c r="M2" i="4"/>
  <c r="L2" i="9" l="1"/>
  <c r="K2" i="9"/>
  <c r="H5" i="9" s="1"/>
  <c r="F2" i="4"/>
  <c r="B22" i="10"/>
  <c r="B17" i="10" l="1"/>
  <c r="C2" i="4"/>
  <c r="H6" i="9" s="1"/>
  <c r="H1" i="7"/>
  <c r="C5" i="4"/>
  <c r="C1" i="4"/>
  <c r="B19" i="10"/>
  <c r="D24" i="4" l="1"/>
  <c r="K94" i="9" s="1"/>
  <c r="D25" i="4"/>
  <c r="K95" i="9" s="1"/>
  <c r="D29" i="4"/>
  <c r="K99" i="9" s="1"/>
  <c r="D26" i="4"/>
  <c r="K96" i="9" s="1"/>
  <c r="D30" i="4"/>
  <c r="K100" i="9" s="1"/>
  <c r="D32" i="4"/>
  <c r="D28" i="4"/>
  <c r="K98" i="9" s="1"/>
  <c r="D27" i="4"/>
  <c r="K97" i="9" s="1"/>
  <c r="J57" i="7"/>
  <c r="B16" i="10"/>
  <c r="D31" i="4" l="1"/>
  <c r="K101" i="9" s="1"/>
  <c r="A52" i="7" s="1"/>
  <c r="A51" i="7"/>
  <c r="A55" i="7" l="1"/>
  <c r="A54" i="7"/>
  <c r="A53" i="7"/>
  <c r="A56" i="7"/>
  <c r="A50" i="7"/>
  <c r="A49" i="7"/>
  <c r="CP2" i="6"/>
  <c r="CO2" i="6"/>
  <c r="CJ2" i="6"/>
  <c r="O2" i="6"/>
  <c r="P2" i="6"/>
  <c r="U2" i="6"/>
  <c r="V2" i="6"/>
  <c r="AA2" i="6"/>
  <c r="AB2" i="6"/>
  <c r="AG2" i="6"/>
  <c r="AH2" i="6"/>
  <c r="AM2" i="6"/>
  <c r="AN2" i="6"/>
  <c r="AS2" i="6"/>
  <c r="AT2" i="6"/>
  <c r="AY2" i="6"/>
  <c r="AZ2" i="6"/>
  <c r="BE2" i="6"/>
  <c r="BF2" i="6"/>
  <c r="BK2" i="6"/>
  <c r="BL2" i="6"/>
  <c r="BQ2" i="6"/>
  <c r="BR2" i="6"/>
  <c r="BW2" i="6"/>
  <c r="BX2" i="6"/>
  <c r="CC2" i="6"/>
  <c r="CD2" i="6"/>
  <c r="CI2" i="6"/>
  <c r="K34" i="6"/>
  <c r="K62" i="6"/>
  <c r="K74" i="6"/>
  <c r="K66" i="6"/>
  <c r="K24" i="6"/>
  <c r="J68" i="6"/>
  <c r="J11" i="6"/>
  <c r="K27" i="6"/>
  <c r="J23" i="6"/>
  <c r="J79" i="6"/>
  <c r="J25" i="6"/>
  <c r="K13" i="6"/>
  <c r="J49" i="6"/>
  <c r="K67" i="6"/>
  <c r="K29" i="6"/>
  <c r="J43" i="6"/>
  <c r="J76" i="6"/>
  <c r="J54" i="6"/>
  <c r="K10" i="6"/>
  <c r="K71" i="6"/>
  <c r="J22" i="6"/>
  <c r="K78" i="6"/>
  <c r="K23" i="6"/>
  <c r="K63" i="6"/>
  <c r="J53" i="6"/>
  <c r="J35" i="6"/>
  <c r="J66" i="6"/>
  <c r="K38" i="6"/>
  <c r="J87" i="6"/>
  <c r="J59" i="6"/>
  <c r="J65" i="6"/>
  <c r="K57" i="6"/>
  <c r="J32" i="6"/>
  <c r="K56" i="6"/>
  <c r="J17" i="6"/>
  <c r="K80" i="6"/>
  <c r="K69" i="6"/>
  <c r="J42" i="6"/>
  <c r="J61" i="6"/>
  <c r="K49" i="6"/>
  <c r="K76" i="6"/>
  <c r="K51" i="6"/>
  <c r="J74" i="6"/>
  <c r="J34" i="6"/>
  <c r="J50" i="6"/>
  <c r="K40" i="6"/>
  <c r="K16" i="6"/>
  <c r="K26" i="6"/>
  <c r="J20" i="6"/>
  <c r="K54" i="6"/>
  <c r="K59" i="6"/>
  <c r="K5" i="6"/>
  <c r="K32" i="6"/>
  <c r="K48" i="6"/>
  <c r="K60" i="6"/>
  <c r="J18" i="6"/>
  <c r="J27" i="6"/>
  <c r="J51" i="6"/>
  <c r="J82" i="6"/>
  <c r="K83" i="6"/>
  <c r="K22" i="6"/>
  <c r="K87" i="6"/>
  <c r="K14" i="6"/>
  <c r="J15" i="6"/>
  <c r="J21" i="6"/>
  <c r="J47" i="6"/>
  <c r="K37" i="6"/>
  <c r="K82" i="6"/>
  <c r="J80" i="6"/>
  <c r="J3" i="6"/>
  <c r="K79" i="6"/>
  <c r="K44" i="6"/>
  <c r="J71" i="6"/>
  <c r="K43" i="6"/>
  <c r="J46" i="6"/>
  <c r="K21" i="6"/>
  <c r="K55" i="6"/>
  <c r="K85" i="6"/>
  <c r="J55" i="6"/>
  <c r="J72" i="6"/>
  <c r="J56" i="6"/>
  <c r="J4" i="6"/>
  <c r="J6" i="6"/>
  <c r="J31" i="6"/>
  <c r="J5" i="6"/>
  <c r="K4" i="6"/>
  <c r="J30" i="6"/>
  <c r="J78" i="6"/>
  <c r="J52" i="6"/>
  <c r="J33" i="6"/>
  <c r="K58" i="6"/>
  <c r="J60" i="6"/>
  <c r="J57" i="6"/>
  <c r="J12" i="6"/>
  <c r="J44" i="6"/>
  <c r="J8" i="6"/>
  <c r="K68" i="6"/>
  <c r="J83" i="6"/>
  <c r="K8" i="6"/>
  <c r="J38" i="6"/>
  <c r="J7" i="6"/>
  <c r="K33" i="6"/>
  <c r="K70" i="6"/>
  <c r="J37" i="6"/>
  <c r="J67" i="6"/>
  <c r="K41" i="6"/>
  <c r="J58" i="6"/>
  <c r="J36" i="6"/>
  <c r="J85" i="6"/>
  <c r="J62" i="6"/>
  <c r="K81" i="6"/>
  <c r="J41" i="6"/>
  <c r="J88" i="6"/>
  <c r="K3" i="6"/>
  <c r="K17" i="6"/>
  <c r="K2" i="6"/>
  <c r="K88" i="6"/>
  <c r="J45" i="6"/>
  <c r="J70" i="6"/>
  <c r="K25" i="6"/>
  <c r="J69" i="6"/>
  <c r="K46" i="6"/>
  <c r="J84" i="6"/>
  <c r="K11" i="6"/>
  <c r="K72" i="6"/>
  <c r="K12" i="6"/>
  <c r="K86" i="6"/>
  <c r="K28" i="6"/>
  <c r="K35" i="6"/>
  <c r="K7" i="6"/>
  <c r="K30" i="6"/>
  <c r="J13" i="6"/>
  <c r="J39" i="6"/>
  <c r="J86" i="6"/>
  <c r="K42" i="6"/>
  <c r="J26" i="6"/>
  <c r="J40" i="6"/>
  <c r="K73" i="6"/>
  <c r="J77" i="6"/>
  <c r="J73" i="6"/>
  <c r="K77" i="6"/>
  <c r="K47" i="6"/>
  <c r="K65" i="6"/>
  <c r="J75" i="6"/>
  <c r="J28" i="6"/>
  <c r="J63" i="6"/>
  <c r="K39" i="6"/>
  <c r="K53" i="6"/>
  <c r="K75" i="6"/>
  <c r="K84" i="6"/>
  <c r="K19" i="6"/>
  <c r="K61" i="6"/>
  <c r="K50" i="6"/>
  <c r="K15" i="6"/>
  <c r="J10" i="6"/>
  <c r="K18" i="6"/>
  <c r="K9" i="6"/>
  <c r="J14" i="6"/>
  <c r="J48" i="6"/>
  <c r="K36" i="6"/>
  <c r="K31" i="6"/>
  <c r="J64" i="6"/>
  <c r="K52" i="6"/>
  <c r="J9" i="6"/>
  <c r="J16" i="6"/>
  <c r="K20" i="6"/>
  <c r="K64" i="6"/>
  <c r="K45" i="6"/>
  <c r="K6" i="6"/>
  <c r="J2" i="6"/>
  <c r="J24" i="6"/>
</calcChain>
</file>

<file path=xl/sharedStrings.xml><?xml version="1.0" encoding="utf-8"?>
<sst xmlns="http://schemas.openxmlformats.org/spreadsheetml/2006/main" count="4475" uniqueCount="3352">
  <si>
    <t>Proposal</t>
  </si>
  <si>
    <t>Date:</t>
  </si>
  <si>
    <t>Job Phone No.:</t>
  </si>
  <si>
    <t>Email:</t>
  </si>
  <si>
    <t>Job Name/ No.:</t>
  </si>
  <si>
    <t>Job Location:</t>
  </si>
  <si>
    <t>To:</t>
  </si>
  <si>
    <t>Allowance</t>
  </si>
  <si>
    <t>Cost</t>
  </si>
  <si>
    <t>Alt. Phone No.:</t>
  </si>
  <si>
    <t>Lump Sum Total:</t>
  </si>
  <si>
    <t>Acceptance of Proposal:</t>
  </si>
  <si>
    <t xml:space="preserve"> The above prices, specifications and conditions are satisfactory and are hereby accepted. You are authorized to do the work as specified. Payment will be made as outlined above.</t>
  </si>
  <si>
    <t>X Signature _________________________ Date: ________              Signature: ________________________ Date: ________</t>
  </si>
  <si>
    <t xml:space="preserve">  You, the buyer, may cancel this transaction at any time prior to midnight of the third business day after the date of this transaction. Cancellation must be done in writing. Cancellation of this contract after the third business day may result in a charge not to exceed 1/3 of the total amount of this contract.</t>
  </si>
  <si>
    <r>
      <rPr>
        <b/>
        <sz val="7"/>
        <color theme="1"/>
        <rFont val="Arial Narrow"/>
        <family val="2"/>
      </rPr>
      <t>We propose</t>
    </r>
    <r>
      <rPr>
        <sz val="7"/>
        <color theme="1"/>
        <rFont val="Arial Narrow"/>
        <family val="2"/>
      </rPr>
      <t xml:space="preserve"> hereby to furnish material and labor – complete in accordance with above specifications, for the sum of: ________________________________________________ dollars($ ). Payment to be made as follows: 33% ($                                     ) is due with this contract and the balance is due on the date of completion. Any balance due after 7 days of the completion of the contract is subject to a monthly interest rate of 1-1/2%; all charges including interest, late fees and legal fees,   associated with the collection of said balance, are the responsibility of the customer, subject to the laws of the State of Maryland.</t>
    </r>
  </si>
  <si>
    <r>
      <rPr>
        <u/>
        <sz val="7"/>
        <color theme="1"/>
        <rFont val="Arial Narrow"/>
        <family val="2"/>
      </rPr>
      <t xml:space="preserve"> </t>
    </r>
    <r>
      <rPr>
        <b/>
        <u/>
        <sz val="7"/>
        <color theme="1"/>
        <rFont val="Arial Narrow"/>
        <family val="2"/>
      </rPr>
      <t xml:space="preserve"> 100% is due </t>
    </r>
    <r>
      <rPr>
        <u/>
        <sz val="7"/>
        <color theme="1"/>
        <rFont val="Arial Narrow"/>
        <family val="2"/>
      </rPr>
      <t>upon completion unless otherwise agreed to in writing. Please sign below, at the (X) and return the yellow copy(is).</t>
    </r>
  </si>
  <si>
    <t>Quote</t>
  </si>
  <si>
    <t>Organization</t>
  </si>
  <si>
    <t>Brittney</t>
  </si>
  <si>
    <t xml:space="preserve"> Rhonda</t>
  </si>
  <si>
    <t>Thomas</t>
  </si>
  <si>
    <t>(443) 847-7697</t>
  </si>
  <si>
    <t>(410) 357-8479</t>
  </si>
  <si>
    <t>Mike</t>
  </si>
  <si>
    <t>Horn</t>
  </si>
  <si>
    <t>PRODUCER</t>
  </si>
  <si>
    <t>mike@sheffieldciv.com</t>
  </si>
  <si>
    <t xml:space="preserve"> m m-0 6_g X q LL O-0 m h</t>
  </si>
  <si>
    <t>Chief</t>
  </si>
  <si>
    <t>Software</t>
  </si>
  <si>
    <t>reply-71eacce87c-5ad89c4802-3527@u.cts.vresp.com</t>
  </si>
  <si>
    <t>J.</t>
  </si>
  <si>
    <t>Brian</t>
  </si>
  <si>
    <t>Smith</t>
  </si>
  <si>
    <t>301-741-0852</t>
  </si>
  <si>
    <t>bjsmith@kc-pella.com</t>
  </si>
  <si>
    <t>Digital</t>
  </si>
  <si>
    <t>Geoffrey Parrish</t>
  </si>
  <si>
    <t>Digital Geek</t>
  </si>
  <si>
    <t>(410) 262-7213</t>
  </si>
  <si>
    <t>(443) 451-4296</t>
  </si>
  <si>
    <t>gparrish@digitalgeek.biz</t>
  </si>
  <si>
    <t>244 Blenheim Rd Baltimore MD 21212 United States</t>
  </si>
  <si>
    <t>White</t>
  </si>
  <si>
    <t>Hall</t>
  </si>
  <si>
    <t>Plumbing</t>
  </si>
  <si>
    <t>Chip Newcomer</t>
  </si>
  <si>
    <t>President / Owner</t>
  </si>
  <si>
    <t>(410) 808-9318</t>
  </si>
  <si>
    <t>(410) 557-9648</t>
  </si>
  <si>
    <t>chip@whitehallplumbing.com</t>
  </si>
  <si>
    <t>4532A Norrisville Road Whit Hall MD 21161 United States of America</t>
  </si>
  <si>
    <t>Scott Tar</t>
  </si>
  <si>
    <t>roofing</t>
  </si>
  <si>
    <t>Frieda Nicholls</t>
  </si>
  <si>
    <t>Frieda.Nicholls@lnf.com</t>
  </si>
  <si>
    <t>6080 Falls Rd</t>
  </si>
  <si>
    <t xml:space="preserve"> Ste 107 Baltimore Md 21209 </t>
  </si>
  <si>
    <t>Dawn</t>
  </si>
  <si>
    <t>Keefer</t>
  </si>
  <si>
    <t>(410) 427-0271</t>
  </si>
  <si>
    <t>Dawn.M.Keefer@citizensone.com</t>
  </si>
  <si>
    <t>Joel</t>
  </si>
  <si>
    <t>Preparation</t>
  </si>
  <si>
    <t>publictaxpreparation@gmail.com</t>
  </si>
  <si>
    <t>Matt</t>
  </si>
  <si>
    <t>Geckle</t>
  </si>
  <si>
    <t>Back River Pre-Cast</t>
  </si>
  <si>
    <t>backriver@gmx.com</t>
  </si>
  <si>
    <t>Mailing Address  P.O. Box 329 Glyndon  Maryland 21071 USA</t>
  </si>
  <si>
    <t>Frank</t>
  </si>
  <si>
    <t>Sweeney</t>
  </si>
  <si>
    <t>dex media.</t>
  </si>
  <si>
    <t>Marketing Consultant</t>
  </si>
  <si>
    <t>sweeney@dexmedia.com</t>
  </si>
  <si>
    <t>1966 Greenspring Drive</t>
  </si>
  <si>
    <t xml:space="preserve"> Suite 100 Timonium  Maryland 21093 USA</t>
  </si>
  <si>
    <t>Alan R. Myers</t>
  </si>
  <si>
    <t>President Senior Portfolio Manager</t>
  </si>
  <si>
    <t>amyers@aeriecapitalmgmt.com</t>
  </si>
  <si>
    <t>5605 Belle Vista Ave Baltimore Maryland 21206 USA</t>
  </si>
  <si>
    <t>Richard</t>
  </si>
  <si>
    <t>Rohlfs</t>
  </si>
  <si>
    <t>County Executive</t>
  </si>
  <si>
    <t>rrohlfs@baltimorecountymd.gov</t>
  </si>
  <si>
    <t xml:space="preserve">Building Inspector    </t>
  </si>
  <si>
    <t>Leonard</t>
  </si>
  <si>
    <t>Spector</t>
  </si>
  <si>
    <t>Oral Surgery &amp; Dental Implants</t>
  </si>
  <si>
    <t>2027 Pulaski Hwy Suite 113 Havre de Grace Maryland 21078 USA</t>
  </si>
  <si>
    <t>EvERErr</t>
  </si>
  <si>
    <t>MEDINA</t>
  </si>
  <si>
    <t>DREAMS@UZAEm 6_RESORT &amp; SPA</t>
  </si>
  <si>
    <t>ROOMS DIVISION MANAGER GERENTE DIVISION CUARTOS</t>
  </si>
  <si>
    <t>emedina@dreamsresorts.com</t>
  </si>
  <si>
    <t xml:space="preserve">Plaza de Uvero Alto Provincia La Altagracia Repiblica Dominicana    </t>
  </si>
  <si>
    <t>Evelyn Ragland</t>
  </si>
  <si>
    <t>Zink</t>
  </si>
  <si>
    <t>Director Of Development</t>
  </si>
  <si>
    <t>zinke@rpcs.org</t>
  </si>
  <si>
    <t>5204 Roland Avenue Baltimore Maryland 21210 USA</t>
  </si>
  <si>
    <t>Ken</t>
  </si>
  <si>
    <t>Stevenson</t>
  </si>
  <si>
    <t>GTEVENSON CONCRETE CONSTRUCTION Co.</t>
  </si>
  <si>
    <t>ACI CERTI FI ED SPECIALTY COMMERCIAL INDUSTRIAL CONCRETE FLAT WORK FINISHER</t>
  </si>
  <si>
    <t>sccl@comcast.net</t>
  </si>
  <si>
    <t>Shannon M.</t>
  </si>
  <si>
    <t>McSkimming</t>
  </si>
  <si>
    <t>Brokerage Services Provided by Fidelity Brokerage Services LLC</t>
  </si>
  <si>
    <t>610 York Road</t>
  </si>
  <si>
    <t>Margaret Tabb</t>
  </si>
  <si>
    <t xml:space="preserve"> Inc</t>
  </si>
  <si>
    <t>margaret@professionalaccountingcenter.com</t>
  </si>
  <si>
    <t>11400 Cronridge Drive Suite D Owings Mills  Maryland 21117 USA</t>
  </si>
  <si>
    <t>Eric Glaeser</t>
  </si>
  <si>
    <t>Jr</t>
  </si>
  <si>
    <t>CUSTOM PAINTTNG LLC</t>
  </si>
  <si>
    <t>eampainting@gmail.com</t>
  </si>
  <si>
    <t xml:space="preserve">P0 Box   20063 </t>
  </si>
  <si>
    <t>Larain</t>
  </si>
  <si>
    <t>Gardners Furniture</t>
  </si>
  <si>
    <t>lvanells@gardinerwolf.com</t>
  </si>
  <si>
    <t>TÃ¶wson  Maryland 21286 USA</t>
  </si>
  <si>
    <t>Daniel J.</t>
  </si>
  <si>
    <t>Esser</t>
  </si>
  <si>
    <t>Licensed Environmental Heahh Specialist County Executive</t>
  </si>
  <si>
    <t>desser@baltimorecountymd.gov</t>
  </si>
  <si>
    <t>Waugh</t>
  </si>
  <si>
    <t>Division Chief</t>
  </si>
  <si>
    <t>thomas.waugh@baltimorecity.gov</t>
  </si>
  <si>
    <t>Bill</t>
  </si>
  <si>
    <t>Evans</t>
  </si>
  <si>
    <t>Team</t>
  </si>
  <si>
    <t>bill@billevanshometean</t>
  </si>
  <si>
    <t xml:space="preserve">M:   21122 </t>
  </si>
  <si>
    <t>doug@epr6stonjr.com</t>
  </si>
  <si>
    <t>4045c Federal Hi ' il Rd. Jarrettsville  Maryland 21084 USA</t>
  </si>
  <si>
    <t>Earl E.</t>
  </si>
  <si>
    <t>Preston</t>
  </si>
  <si>
    <t>doug@eprestonjr.com</t>
  </si>
  <si>
    <t>4045-C Federal Hill Rd. Jarrettsville  Maryland 21084 USA</t>
  </si>
  <si>
    <t>Robert</t>
  </si>
  <si>
    <t>Rumsey</t>
  </si>
  <si>
    <t>Ier for Gl#ality Ex(nninations</t>
  </si>
  <si>
    <t>Chief Fincmciut Ojticer</t>
  </si>
  <si>
    <t>n.umsey@exam-p.u.mers.com</t>
  </si>
  <si>
    <t>MaryCarol</t>
  </si>
  <si>
    <t>Lamb</t>
  </si>
  <si>
    <t>Ferguson Cockeysville</t>
  </si>
  <si>
    <t>marycarol.lamb@ferguson.com</t>
  </si>
  <si>
    <t>10931 McCormick Road Hunt Valley  Maryland 21031 USA</t>
  </si>
  <si>
    <t>Garrety Glass</t>
  </si>
  <si>
    <t>Glass</t>
  </si>
  <si>
    <t>717-353-9253</t>
  </si>
  <si>
    <t>bdietz@garretyglass.com</t>
  </si>
  <si>
    <t xml:space="preserve">Serving All Of Your Glass Needs Rellectlng Excellence In Quality And Service    </t>
  </si>
  <si>
    <t>Nelson</t>
  </si>
  <si>
    <t>Dickerson</t>
  </si>
  <si>
    <t>GLHSS G MIRROR</t>
  </si>
  <si>
    <t>jenny</t>
  </si>
  <si>
    <t>Zubey</t>
  </si>
  <si>
    <t>ASSOCIATES INC</t>
  </si>
  <si>
    <t>ASSOCIATES</t>
  </si>
  <si>
    <t>jsmith@himmelrichassociates.com</t>
  </si>
  <si>
    <t>Ryan</t>
  </si>
  <si>
    <t>Zezeski</t>
  </si>
  <si>
    <t>LUC ZRA ' FINANCIAL INFRASTRUCTURES</t>
  </si>
  <si>
    <t>Kernel Engineer</t>
  </si>
  <si>
    <t>rzezeski@lucera.com</t>
  </si>
  <si>
    <t>39 E Hamburg St Baltimore MD 21230 United States</t>
  </si>
  <si>
    <t>Joseph</t>
  </si>
  <si>
    <t>Brandli</t>
  </si>
  <si>
    <t>PILLAR CPOST</t>
  </si>
  <si>
    <t>Franchise Ownerl</t>
  </si>
  <si>
    <t>joseph.brandli@piltartopost.com</t>
  </si>
  <si>
    <t>Craig</t>
  </si>
  <si>
    <t>Linehan</t>
  </si>
  <si>
    <t>Potomac Valley Brick</t>
  </si>
  <si>
    <t>Baltimore Facility Manager</t>
  </si>
  <si>
    <t>clinehan@pvbrick.com</t>
  </si>
  <si>
    <t>9009 Yellow Brick Road Baltimore Maryland 21237 USA</t>
  </si>
  <si>
    <t>Marti</t>
  </si>
  <si>
    <t>Henry</t>
  </si>
  <si>
    <t>Sales Representative</t>
  </si>
  <si>
    <t>mhenry@pvbrick.com</t>
  </si>
  <si>
    <t>Bryon</t>
  </si>
  <si>
    <t>Berrier</t>
  </si>
  <si>
    <t xml:space="preserve"> Our goal is to have every Customer recommend Us </t>
  </si>
  <si>
    <t>i(ey Business Mcinager</t>
  </si>
  <si>
    <t>bberrier@reico.com</t>
  </si>
  <si>
    <t>Suite B Timonium  Maryland 21093 USA</t>
  </si>
  <si>
    <t>Michael</t>
  </si>
  <si>
    <t>Nickey</t>
  </si>
  <si>
    <t>The Roof Center</t>
  </si>
  <si>
    <t>) Utside Sales Representative</t>
  </si>
  <si>
    <t>(410) 238-0100</t>
  </si>
  <si>
    <t>mnickey@roofcenter.com</t>
  </si>
  <si>
    <t>8999 Yellow Brick Road Baltimore Maryland 21237 USA</t>
  </si>
  <si>
    <t>Terry A.</t>
  </si>
  <si>
    <t>Danner</t>
  </si>
  <si>
    <t>Mcm1+fkzcturers Of Wood Stairs &amp; Stair Pczrts THE TANEY CORPORATION</t>
  </si>
  <si>
    <t>SALES REPRESENTATIVE</t>
  </si>
  <si>
    <t>terryadanner@yahoo.com</t>
  </si>
  <si>
    <t>James Eddie</t>
  </si>
  <si>
    <t>Hurst</t>
  </si>
  <si>
    <t>Bill Evans Hom</t>
  </si>
  <si>
    <t>Consultant Team</t>
  </si>
  <si>
    <t>eddie@billevanshom.er</t>
  </si>
  <si>
    <t>Ilwood Road Suite 1 Pasadena  Maryland 897101 USA</t>
  </si>
  <si>
    <t>Supepiop</t>
  </si>
  <si>
    <t>Walls</t>
  </si>
  <si>
    <t>mwebbere@weaverprecast.com</t>
  </si>
  <si>
    <t>Richard â€œRCâ€</t>
  </si>
  <si>
    <t>Fannin</t>
  </si>
  <si>
    <t>Prestige Design Build LLC</t>
  </si>
  <si>
    <t>prestigedesignbuildllc@hotmail.com</t>
  </si>
  <si>
    <t>MHIC # 102846 Tax ID # 45-4427539</t>
  </si>
  <si>
    <t>Al &amp; Sarah</t>
  </si>
  <si>
    <t>De Felice</t>
  </si>
  <si>
    <t>sdefelice@bcps.org</t>
  </si>
  <si>
    <t>2429 Hartfell Road Timonium MD 21093 United States</t>
  </si>
  <si>
    <t>John And Paula</t>
  </si>
  <si>
    <t>Mitcherling</t>
  </si>
  <si>
    <t>Pjm1858@aol.com</t>
  </si>
  <si>
    <t>Don</t>
  </si>
  <si>
    <t>Ruston</t>
  </si>
  <si>
    <t>Donald.Ruston@constellation.com</t>
  </si>
  <si>
    <t>russel</t>
  </si>
  <si>
    <t>brussell@sjpi.com</t>
  </si>
  <si>
    <t>Daniel</t>
  </si>
  <si>
    <t>Trazzi</t>
  </si>
  <si>
    <t>daniel.trazzi@gmail.com</t>
  </si>
  <si>
    <t>Ziemski</t>
  </si>
  <si>
    <t>L&amp;W Supply</t>
  </si>
  <si>
    <t>matthew.ziemski@jwsupply.com</t>
  </si>
  <si>
    <t>4661 Hollins Ferry Rd Baltimore Maryland 21227 USA</t>
  </si>
  <si>
    <t>Halstad</t>
  </si>
  <si>
    <t>(410) 456-7007</t>
  </si>
  <si>
    <t>mhalstad@cayanaughpress.com</t>
  </si>
  <si>
    <t>Nora L. Gohn Â· Mortgage</t>
  </si>
  <si>
    <t>Banker</t>
  </si>
  <si>
    <t>Caliber Home Loans</t>
  </si>
  <si>
    <t>nora.gohn@caliberhomeloand.com</t>
  </si>
  <si>
    <t>UNIVERSAL CARPET DISTRIBUTORS</t>
  </si>
  <si>
    <t>Wholesale Division</t>
  </si>
  <si>
    <t>rhorner@universalcarpetdist.com</t>
  </si>
  <si>
    <t>' Follow The Yellow Brick Road  9008 Yellow Brick Road-Suite A Baltimore Maryland 21237 USA</t>
  </si>
  <si>
    <t>Rob</t>
  </si>
  <si>
    <t>Long &amp; Foster</t>
  </si>
  <si>
    <t>rob.preston@longandfoster.com</t>
  </si>
  <si>
    <t>Steve</t>
  </si>
  <si>
    <t>Conroy</t>
  </si>
  <si>
    <t>pampam612@aol.com</t>
  </si>
  <si>
    <t>Scott</t>
  </si>
  <si>
    <t>Parker</t>
  </si>
  <si>
    <t>CENTRAL VACS UNLIMITED</t>
  </si>
  <si>
    <t xml:space="preserve"> Installation &amp; Service</t>
  </si>
  <si>
    <t>scott@centralvacsunlimited.net</t>
  </si>
  <si>
    <t>1659-A Robin Circle Forest Hill  Maryland 21050 USA</t>
  </si>
  <si>
    <t>Shahir</t>
  </si>
  <si>
    <t>Badr</t>
  </si>
  <si>
    <t>zgreat1@comcast.net</t>
  </si>
  <si>
    <t>Sprinkler room code 0714</t>
  </si>
  <si>
    <t>Melissa</t>
  </si>
  <si>
    <t>Subock</t>
  </si>
  <si>
    <t>tenter fÂ° Â· At+tism And Related DisoTders Kennedy Krieger Institute</t>
  </si>
  <si>
    <t xml:space="preserve"> Ccc-SLP\</t>
  </si>
  <si>
    <t>subock@kennedykrieger.org</t>
  </si>
  <si>
    <t>3901 Greenspring Ave Baltimore Maryland 21211 USA</t>
  </si>
  <si>
    <t>Sheila</t>
  </si>
  <si>
    <t>Walker</t>
  </si>
  <si>
    <t>first L Linancialj (/Federal Credit Union</t>
  </si>
  <si>
    <t>Senior Loan Counselor</t>
  </si>
  <si>
    <t>swalker@firstfinancial.org</t>
  </si>
  <si>
    <t>1215 York Road Lutherville  Maryland 21093 USA</t>
  </si>
  <si>
    <t>Tom</t>
  </si>
  <si>
    <t>Sheaffer</t>
  </si>
  <si>
    <t>Wisp</t>
  </si>
  <si>
    <t>t.sheaffer250@gmail</t>
  </si>
  <si>
    <t>Padonia Park</t>
  </si>
  <si>
    <t>info@padoniaparkclub.com</t>
  </si>
  <si>
    <t>Table comonation    F269</t>
  </si>
  <si>
    <t>Scarlett</t>
  </si>
  <si>
    <t>1251 Shaffersville Road Mount Airy MD 21771 United States</t>
  </si>
  <si>
    <t>Paul</t>
  </si>
  <si>
    <t>Kristoff</t>
  </si>
  <si>
    <t>Kelly</t>
  </si>
  <si>
    <t>Eric &amp; Lisa</t>
  </si>
  <si>
    <t>Mark</t>
  </si>
  <si>
    <t>Gibbons</t>
  </si>
  <si>
    <t>Central Maryland Contractors</t>
  </si>
  <si>
    <t>800 Race Road  Suite 100 Baltimore MD 21221 United States</t>
  </si>
  <si>
    <t>Calvert Wholesale</t>
  </si>
  <si>
    <t>Pennock Company</t>
  </si>
  <si>
    <t>2011 West Coldspring Lane Baltimore MD 21209 United States</t>
  </si>
  <si>
    <t>Earlt attic tax id # 102 70 462 Bonnie williams</t>
  </si>
  <si>
    <t>Crazy Rays</t>
  </si>
  <si>
    <t>Andy</t>
  </si>
  <si>
    <t>Nelson Jr.</t>
  </si>
  <si>
    <t>Andy Nelson's</t>
  </si>
  <si>
    <t>jr@andynelsonsbbq.com</t>
  </si>
  <si>
    <t>11007  York Road Cockeysville MD 21030 United States</t>
  </si>
  <si>
    <t>Celio</t>
  </si>
  <si>
    <t>Oliveras</t>
  </si>
  <si>
    <t>(443) 324-1710</t>
  </si>
  <si>
    <t>Kevin</t>
  </si>
  <si>
    <t>gerald</t>
  </si>
  <si>
    <t>2128 garag  12981</t>
  </si>
  <si>
    <t>Ripple</t>
  </si>
  <si>
    <t>ins</t>
  </si>
  <si>
    <t>Bill &amp; Carol</t>
  </si>
  <si>
    <t>Petterson</t>
  </si>
  <si>
    <t>Sunbelt Rental</t>
  </si>
  <si>
    <t>Rudy</t>
  </si>
  <si>
    <t>Lafarge</t>
  </si>
  <si>
    <t>Cristine</t>
  </si>
  <si>
    <t>East</t>
  </si>
  <si>
    <t>davison</t>
  </si>
  <si>
    <t>graz</t>
  </si>
  <si>
    <t>Larry</t>
  </si>
  <si>
    <t>hoffman</t>
  </si>
  <si>
    <t>616 Main St Reisterstown MD 21136 United States</t>
  </si>
  <si>
    <t>Burnie</t>
  </si>
  <si>
    <t>goldwing01@verizon.net</t>
  </si>
  <si>
    <t>Referal from bill and jane  Cobalt blue. $9,000.00  Budget</t>
  </si>
  <si>
    <t>Eric &amp; Joanna</t>
  </si>
  <si>
    <t>Trela</t>
  </si>
  <si>
    <t>joanna@nqgrg.com</t>
  </si>
  <si>
    <t>John &amp; Karen</t>
  </si>
  <si>
    <t>Michaels</t>
  </si>
  <si>
    <t>michaels227@comcast.net</t>
  </si>
  <si>
    <t>Marylou</t>
  </si>
  <si>
    <t>Greg</t>
  </si>
  <si>
    <t>Blacl dk blue silver</t>
  </si>
  <si>
    <t>Russ</t>
  </si>
  <si>
    <t>Mazulo</t>
  </si>
  <si>
    <t>Coast To Coast</t>
  </si>
  <si>
    <t>Rick &amp; Beezy</t>
  </si>
  <si>
    <t>Childs</t>
  </si>
  <si>
    <t>Ocean Side</t>
  </si>
  <si>
    <t>Helena</t>
  </si>
  <si>
    <t>Ocean Side Auto Sales</t>
  </si>
  <si>
    <t>Flynn</t>
  </si>
  <si>
    <t>kaine</t>
  </si>
  <si>
    <t>Maryellen</t>
  </si>
  <si>
    <t>Andrea B. Giffespie</t>
  </si>
  <si>
    <t>Certil t ' ed Public Accountant</t>
  </si>
  <si>
    <t>andrea@andreagillespie.com</t>
  </si>
  <si>
    <t>40 York Road</t>
  </si>
  <si>
    <t>Jps</t>
  </si>
  <si>
    <t>marble</t>
  </si>
  <si>
    <t>Eagles Landing</t>
  </si>
  <si>
    <t>Stock Interiors</t>
  </si>
  <si>
    <t>Old Dude</t>
  </si>
  <si>
    <t>www.olddude.com</t>
  </si>
  <si>
    <t>4251 Wayside Court Lilburn GA 30047 United States</t>
  </si>
  <si>
    <t>Shuster Concrete</t>
  </si>
  <si>
    <t>Linda</t>
  </si>
  <si>
    <t>Franz</t>
  </si>
  <si>
    <t>Dr Daley</t>
  </si>
  <si>
    <t>Towson Peruosotal Associates</t>
  </si>
  <si>
    <t>Dr Dankner</t>
  </si>
  <si>
    <t>Eye Doctor</t>
  </si>
  <si>
    <t>Lexus Of Towson</t>
  </si>
  <si>
    <t>Dr Diehn</t>
  </si>
  <si>
    <t>Gbmc</t>
  </si>
  <si>
    <t>Dr</t>
  </si>
  <si>
    <t>feldman</t>
  </si>
  <si>
    <t>Marty's Paint Supplies</t>
  </si>
  <si>
    <t>University Of Md</t>
  </si>
  <si>
    <t>4 North Ave  4C  Suite 423 Belair MD 21014 United States</t>
  </si>
  <si>
    <t>Dr ellini, ahmad</t>
  </si>
  <si>
    <t>Jack</t>
  </si>
  <si>
    <t>westermeyer</t>
  </si>
  <si>
    <t>jack@embroidme-belair.com</t>
  </si>
  <si>
    <t>Bryan</t>
  </si>
  <si>
    <t>beyrodt</t>
  </si>
  <si>
    <t>bbeyrodt@gmail.com</t>
  </si>
  <si>
    <t>Terrie</t>
  </si>
  <si>
    <t>Driver</t>
  </si>
  <si>
    <t>Luke</t>
  </si>
  <si>
    <t>Bailey</t>
  </si>
  <si>
    <t>Lawrence</t>
  </si>
  <si>
    <t>Saad</t>
  </si>
  <si>
    <t>A &amp; A Global Industries</t>
  </si>
  <si>
    <t>(410) 785-5721</t>
  </si>
  <si>
    <t>(410) 252-1020</t>
  </si>
  <si>
    <t>lsaad@aaglobalindustries.com</t>
  </si>
  <si>
    <t>Harrison</t>
  </si>
  <si>
    <t>(443) 244-3153</t>
  </si>
  <si>
    <t>bjarrison@nfmlending.com</t>
  </si>
  <si>
    <t>Reliable</t>
  </si>
  <si>
    <t>roll off</t>
  </si>
  <si>
    <t>Len</t>
  </si>
  <si>
    <t>Baylin</t>
  </si>
  <si>
    <t>Jim</t>
  </si>
  <si>
    <t>holls</t>
  </si>
  <si>
    <t>JHOLLS@WBCM.com</t>
  </si>
  <si>
    <t>3 Bush Cabin Court Parkton MD 21120 United States</t>
  </si>
  <si>
    <t>Heather Langenberg</t>
  </si>
  <si>
    <t>Kalen Baxter</t>
  </si>
  <si>
    <t>(410) 584-1490</t>
  </si>
  <si>
    <t>hlangenberg@calvertservices.org</t>
  </si>
  <si>
    <t>1211 Maple Leaf Ct Cockeysville MD 21030 United States</t>
  </si>
  <si>
    <t>Williams</t>
  </si>
  <si>
    <t>Guion</t>
  </si>
  <si>
    <t>Marty &amp; Nancy</t>
  </si>
  <si>
    <t>Wolf</t>
  </si>
  <si>
    <t>801 Renard Ct Forest Hill MD 21050-3049 United States</t>
  </si>
  <si>
    <t>Jen</t>
  </si>
  <si>
    <t>Jensen</t>
  </si>
  <si>
    <t>Crops</t>
  </si>
  <si>
    <t>(410) 357-3213</t>
  </si>
  <si>
    <t>John</t>
  </si>
  <si>
    <t>gracianie</t>
  </si>
  <si>
    <t>(301) 404-9726</t>
  </si>
  <si>
    <t>Tom &amp; Liza</t>
  </si>
  <si>
    <t>Debolt</t>
  </si>
  <si>
    <t>(410) 258-4216</t>
  </si>
  <si>
    <t>(410) 628-6066</t>
  </si>
  <si>
    <t>tomdebolt@gmail.com</t>
  </si>
  <si>
    <t>3609 Hampshire Glen Ct Phoenix Maryland 21131 United States</t>
  </si>
  <si>
    <t>Kamy</t>
  </si>
  <si>
    <t>(443) 986-0017</t>
  </si>
  <si>
    <t>(410) 321-0654</t>
  </si>
  <si>
    <t>Keesha</t>
  </si>
  <si>
    <t>Padoni dental</t>
  </si>
  <si>
    <t>(410) 440-3632</t>
  </si>
  <si>
    <t>Stuart &amp; Aija</t>
  </si>
  <si>
    <t>Rabinowitz</t>
  </si>
  <si>
    <t>(410) 581-1282</t>
  </si>
  <si>
    <t>mrskitz@aol</t>
  </si>
  <si>
    <t>1 Stream Ct Owings Mills MD 21117 United States</t>
  </si>
  <si>
    <t>Dennis</t>
  </si>
  <si>
    <t>(410) 624-8129</t>
  </si>
  <si>
    <t>Rich &amp; Kristin</t>
  </si>
  <si>
    <t>Elliot</t>
  </si>
  <si>
    <t>Elliot Sports Wear Inc</t>
  </si>
  <si>
    <t>(410) 925-0338</t>
  </si>
  <si>
    <t>(410) 663-3966</t>
  </si>
  <si>
    <t>shop@elliotsportswear.net</t>
  </si>
  <si>
    <t>111 Graystone Farm Rd Whitehall MD 21161 United States</t>
  </si>
  <si>
    <t>Cynthia Gavin</t>
  </si>
  <si>
    <t>(443) 831-0540</t>
  </si>
  <si>
    <t>(410) 733-5514</t>
  </si>
  <si>
    <t>Rc</t>
  </si>
  <si>
    <t>(410) 733-9966</t>
  </si>
  <si>
    <t>Dent</t>
  </si>
  <si>
    <t>doctor</t>
  </si>
  <si>
    <t>(410) 808-0023</t>
  </si>
  <si>
    <t>(410) 838-3464</t>
  </si>
  <si>
    <t>Dan</t>
  </si>
  <si>
    <t>Bohlen</t>
  </si>
  <si>
    <t>(410) 900-2637</t>
  </si>
  <si>
    <t>(410) 357-5658</t>
  </si>
  <si>
    <t>Tim &amp; Leah</t>
  </si>
  <si>
    <t>Dickens</t>
  </si>
  <si>
    <t>(410) 948-6220</t>
  </si>
  <si>
    <t>5 Stag Ct Phoenix MD 21131 United States</t>
  </si>
  <si>
    <t>Harris</t>
  </si>
  <si>
    <t>Gambino Construction</t>
  </si>
  <si>
    <t>(443) 790-4192</t>
  </si>
  <si>
    <t>(410) 472-1090</t>
  </si>
  <si>
    <t>dirtdoctorb@aol.com</t>
  </si>
  <si>
    <t>17207 Troyer Road Monkton Maryland 21111 USA</t>
  </si>
  <si>
    <t>Karen</t>
  </si>
  <si>
    <t>Haviland</t>
  </si>
  <si>
    <t>(443) 262-2980</t>
  </si>
  <si>
    <t>(443) 924-0149</t>
  </si>
  <si>
    <t>1082 Carriage Hill Court Annapolis MD 21401 United States</t>
  </si>
  <si>
    <t>0702 enter</t>
  </si>
  <si>
    <t>Tim</t>
  </si>
  <si>
    <t>Breaux</t>
  </si>
  <si>
    <t>(503) 780-1341</t>
  </si>
  <si>
    <t>(503) 296-0129</t>
  </si>
  <si>
    <t>Byron</t>
  </si>
  <si>
    <t>Jones</t>
  </si>
  <si>
    <t>Central Home Consultants</t>
  </si>
  <si>
    <t>(301) 524-9256</t>
  </si>
  <si>
    <t>(518) 330-3915</t>
  </si>
  <si>
    <t>byronjones00@gmail.com</t>
  </si>
  <si>
    <t>Jeremy</t>
  </si>
  <si>
    <t>Jacoby</t>
  </si>
  <si>
    <t>(814) 323-2354</t>
  </si>
  <si>
    <t>jmartj1979@yahoo.com</t>
  </si>
  <si>
    <t>Bg-e</t>
  </si>
  <si>
    <t>1 (800) 685-0123</t>
  </si>
  <si>
    <t>(877) 778-2222</t>
  </si>
  <si>
    <t>Tina</t>
  </si>
  <si>
    <t>Overhead Doord</t>
  </si>
  <si>
    <t>1 (484) 824-4686</t>
  </si>
  <si>
    <t>dpmcnelis@verizon.net</t>
  </si>
  <si>
    <t>Large Selection. Of</t>
  </si>
  <si>
    <t>fine</t>
  </si>
  <si>
    <t>Herefortl-P.CirltD h</t>
  </si>
  <si>
    <t xml:space="preserve"> Beer &amp; Liqtlor</t>
  </si>
  <si>
    <t xml:space="preserve">17099 York rcl 1  </t>
  </si>
  <si>
    <t>Dr. Das Nishi(Primary Dr.)</t>
  </si>
  <si>
    <t>Dr.Carr</t>
  </si>
  <si>
    <t>Primary Doc.</t>
  </si>
  <si>
    <t>410-683-3380</t>
  </si>
  <si>
    <t xml:space="preserve">Suit 210 1 Texas Station Ct. Timonium Maryland 21093 </t>
  </si>
  <si>
    <t>Anthony</t>
  </si>
  <si>
    <t>Hamiel</t>
  </si>
  <si>
    <t>@M8u Securities</t>
  </si>
  <si>
    <t>Vice President Financial Consultant</t>
  </si>
  <si>
    <t xml:space="preserve">MAIUNG ADDRESS    </t>
  </si>
  <si>
    <t>Kevin &amp; Erica</t>
  </si>
  <si>
    <t>Curtis</t>
  </si>
  <si>
    <t>kevinjcurtis@gmail.com</t>
  </si>
  <si>
    <t>2604 Goodwood Rd  MD 21214 United States</t>
  </si>
  <si>
    <t>Jennifer &amp; Craig</t>
  </si>
  <si>
    <t>Lewis</t>
  </si>
  <si>
    <t>Gymnastics</t>
  </si>
  <si>
    <t>(410) 960-3221</t>
  </si>
  <si>
    <t>ginglewis@comcast.net</t>
  </si>
  <si>
    <t>1209 Trappe Lane Baltimore MD 21204 United States</t>
  </si>
  <si>
    <t>3,400 sq.ft. Built 1952</t>
  </si>
  <si>
    <t>Cosima</t>
  </si>
  <si>
    <t>(443) 708-7352</t>
  </si>
  <si>
    <t>3000 Falls Rd Baltimore MD 21211 United States</t>
  </si>
  <si>
    <t>Whitcraft Transmission</t>
  </si>
  <si>
    <t>(410) 833-5752</t>
  </si>
  <si>
    <t>Bob</t>
  </si>
  <si>
    <t>Manankil</t>
  </si>
  <si>
    <t>Sally</t>
  </si>
  <si>
    <t>McKabe</t>
  </si>
  <si>
    <t>Declutter</t>
  </si>
  <si>
    <t>Friend Jennifer Lewis</t>
  </si>
  <si>
    <t>Siera</t>
  </si>
  <si>
    <t>Ching</t>
  </si>
  <si>
    <t>(443) 554-8444</t>
  </si>
  <si>
    <t>Julie</t>
  </si>
  <si>
    <t>King</t>
  </si>
  <si>
    <t>Julie.King@susquehanna.net</t>
  </si>
  <si>
    <t>Eustice</t>
  </si>
  <si>
    <t>Doug f s Beer</t>
  </si>
  <si>
    <t>Truck</t>
  </si>
  <si>
    <t>Genie</t>
  </si>
  <si>
    <t>Trent &amp; Rodney</t>
  </si>
  <si>
    <t>Glace</t>
  </si>
  <si>
    <t>Maryland Concrete</t>
  </si>
  <si>
    <t>(717) 781-3239</t>
  </si>
  <si>
    <t>Baltimore County Inspections</t>
  </si>
  <si>
    <t>Jennifer</t>
  </si>
  <si>
    <t>shawn kai</t>
  </si>
  <si>
    <t>Shanna</t>
  </si>
  <si>
    <t>Jacobson</t>
  </si>
  <si>
    <t>Heidi</t>
  </si>
  <si>
    <t>AuPair Agency</t>
  </si>
  <si>
    <t>(443) 745-5881</t>
  </si>
  <si>
    <t>Joann</t>
  </si>
  <si>
    <t>Graham</t>
  </si>
  <si>
    <t>(410) 979-0677</t>
  </si>
  <si>
    <t>Cat</t>
  </si>
  <si>
    <t>(443) 834-3869</t>
  </si>
  <si>
    <t>Steve Dance Auctuons</t>
  </si>
  <si>
    <t>Danielle</t>
  </si>
  <si>
    <t>Meneghello</t>
  </si>
  <si>
    <t xml:space="preserve">Nick </t>
  </si>
  <si>
    <t>Garifolos</t>
  </si>
  <si>
    <t>(443) 632-5449</t>
  </si>
  <si>
    <t>Ron</t>
  </si>
  <si>
    <t>Sewing</t>
  </si>
  <si>
    <t>(410) 800-5377</t>
  </si>
  <si>
    <t>Judy</t>
  </si>
  <si>
    <t>Hanley</t>
  </si>
  <si>
    <t>World Gutter Systems</t>
  </si>
  <si>
    <t>(814) 455-7430</t>
  </si>
  <si>
    <t>www.slateandcopper.com</t>
  </si>
  <si>
    <t>436 West 12Th Street Erie PA 16501 United States</t>
  </si>
  <si>
    <t>Hellman</t>
  </si>
  <si>
    <t>Cleon</t>
  </si>
  <si>
    <t>Grove</t>
  </si>
  <si>
    <t>Consultant Owner</t>
  </si>
  <si>
    <t>cegrovepropconsult@gmail.com</t>
  </si>
  <si>
    <t>Wheatland Ave 1220 Wheatland Ave Lancaster Pennsylvania 17603 USA</t>
  </si>
  <si>
    <t>Print Shack</t>
  </si>
  <si>
    <t>(410) 561-0111</t>
  </si>
  <si>
    <t>Pam</t>
  </si>
  <si>
    <t>Rick</t>
  </si>
  <si>
    <t>Ponak</t>
  </si>
  <si>
    <t>(267) 374-3888</t>
  </si>
  <si>
    <t>Aunt Judy &amp; Uncle Bill</t>
  </si>
  <si>
    <t>(410) 382-1642</t>
  </si>
  <si>
    <t>(410) 323-8293</t>
  </si>
  <si>
    <t>Mehann</t>
  </si>
  <si>
    <t>(410) 692-0460</t>
  </si>
  <si>
    <t>Kosterow</t>
  </si>
  <si>
    <t>rkosterow@nexus21.com</t>
  </si>
  <si>
    <t>Dougherty</t>
  </si>
  <si>
    <t>Elaine</t>
  </si>
  <si>
    <t>Lindsay</t>
  </si>
  <si>
    <t>(410) 628-0499</t>
  </si>
  <si>
    <t>elaine_lindsay@verizon.net</t>
  </si>
  <si>
    <t>Bubba</t>
  </si>
  <si>
    <t>Josh</t>
  </si>
  <si>
    <t>Hockstra</t>
  </si>
  <si>
    <t>Lindsay Builders</t>
  </si>
  <si>
    <t>+1 (410) 207-9811</t>
  </si>
  <si>
    <t>Trisha. Jeff</t>
  </si>
  <si>
    <t>Davis</t>
  </si>
  <si>
    <t>Kim Willard</t>
  </si>
  <si>
    <t>Miky</t>
  </si>
  <si>
    <t>bragdon</t>
  </si>
  <si>
    <t>Jayson Brown Flooring</t>
  </si>
  <si>
    <t>(443) 506-5703</t>
  </si>
  <si>
    <t>(410) 668-9131</t>
  </si>
  <si>
    <t>Griffiths</t>
  </si>
  <si>
    <t>tgriffi686@aol.com</t>
  </si>
  <si>
    <t>Coalfire</t>
  </si>
  <si>
    <t>+1 (410) 584-2625</t>
  </si>
  <si>
    <t>Ponias</t>
  </si>
  <si>
    <t>(720) 323-2435</t>
  </si>
  <si>
    <t>jpontious@jpturner.com</t>
  </si>
  <si>
    <t>19698 East Fair Drive Aurora CO 80016 United States</t>
  </si>
  <si>
    <t>Tom &amp; Veronica</t>
  </si>
  <si>
    <t>Colgan</t>
  </si>
  <si>
    <t>11507 Hunters Run Dr Cockeysville MD 21030 United States</t>
  </si>
  <si>
    <t>Doug</t>
  </si>
  <si>
    <t>McKoy</t>
  </si>
  <si>
    <t>McKoy and Sons No Job Too Big Or Too Small</t>
  </si>
  <si>
    <t>Electrical Contractor</t>
  </si>
  <si>
    <t>Land Rover and Sprinter customer</t>
  </si>
  <si>
    <t>William</t>
  </si>
  <si>
    <t>(571) 316-3011</t>
  </si>
  <si>
    <t>Dickert</t>
  </si>
  <si>
    <t>(410) 529-1355</t>
  </si>
  <si>
    <t>Sue</t>
  </si>
  <si>
    <t>Gordan</t>
  </si>
  <si>
    <t>Flooring</t>
  </si>
  <si>
    <t>(410) 686-9469</t>
  </si>
  <si>
    <t>Trudy</t>
  </si>
  <si>
    <t>trudy.lilly@fda.hhs.gov</t>
  </si>
  <si>
    <t>Lisa &amp; Phil</t>
  </si>
  <si>
    <t>Adkins</t>
  </si>
  <si>
    <t>Jayson</t>
  </si>
  <si>
    <t>shubert</t>
  </si>
  <si>
    <t>Todd</t>
  </si>
  <si>
    <t>Peachbottom HVAC</t>
  </si>
  <si>
    <t>1 (410) 487-4049</t>
  </si>
  <si>
    <t>thefannins_7007@hotmail.com</t>
  </si>
  <si>
    <t>Bobcat Of Baltimore</t>
  </si>
  <si>
    <t>(410) 483-0600</t>
  </si>
  <si>
    <t>Gary &amp; Julianna</t>
  </si>
  <si>
    <t>Stein</t>
  </si>
  <si>
    <t>14 Cornfield Ct Reisterstown MD 21136 United States</t>
  </si>
  <si>
    <t>stoltz</t>
  </si>
  <si>
    <t>Brian 2047</t>
  </si>
  <si>
    <t>Compast</t>
  </si>
  <si>
    <t>(443) 391-3862</t>
  </si>
  <si>
    <t>Smullens Salvage And Towing</t>
  </si>
  <si>
    <t>(410) 651-2181</t>
  </si>
  <si>
    <t>Recycle Drive Princess Ann MD 21853 United States</t>
  </si>
  <si>
    <t>Kaery</t>
  </si>
  <si>
    <t>Johnson</t>
  </si>
  <si>
    <t>2008 subaru</t>
  </si>
  <si>
    <t>Frank A.</t>
  </si>
  <si>
    <t>Cirincione</t>
  </si>
  <si>
    <t>P..E.</t>
  </si>
  <si>
    <t>410*916*5220</t>
  </si>
  <si>
    <t>fcatusha@gmail.com</t>
  </si>
  <si>
    <t>505 Raven Rock Court Parkton  Maryland 21120-9417 USA</t>
  </si>
  <si>
    <t>Priya</t>
  </si>
  <si>
    <t>Wagle</t>
  </si>
  <si>
    <t>Valley</t>
  </si>
  <si>
    <t>Motors</t>
  </si>
  <si>
    <t>Rogelio D'Almeida</t>
  </si>
  <si>
    <t>Chuck</t>
  </si>
  <si>
    <t>Phillips</t>
  </si>
  <si>
    <t>KCI Technoligies</t>
  </si>
  <si>
    <t>(443) 956-1027</t>
  </si>
  <si>
    <t>(410) 316-7800</t>
  </si>
  <si>
    <t>charles.phillips@kci.com</t>
  </si>
  <si>
    <t>936 Ridgebrook Rd Sparks MD  United States</t>
  </si>
  <si>
    <t>Sarah</t>
  </si>
  <si>
    <t>7th</t>
  </si>
  <si>
    <t>Volk</t>
  </si>
  <si>
    <t>(443) 858-0781</t>
  </si>
  <si>
    <t>Carpet and flooring installer</t>
  </si>
  <si>
    <t>Liz</t>
  </si>
  <si>
    <t>Hembling</t>
  </si>
  <si>
    <t>(410) 935-0741</t>
  </si>
  <si>
    <t>lizhembling@yahoo.com</t>
  </si>
  <si>
    <t>11933 Falls Road Cockeysville MD 21030 United States</t>
  </si>
  <si>
    <t>Turnback</t>
  </si>
  <si>
    <t>(410) 340-2393</t>
  </si>
  <si>
    <t>tturnbach@gmail.com</t>
  </si>
  <si>
    <t>Referal from terry hanley</t>
  </si>
  <si>
    <t>Scott &amp; Kerri</t>
  </si>
  <si>
    <t>Nicholson</t>
  </si>
  <si>
    <t>(410) 237-5605</t>
  </si>
  <si>
    <t>(410) 259-0329</t>
  </si>
  <si>
    <t>Tracey &amp; Scott</t>
  </si>
  <si>
    <t>(410) 598-4295</t>
  </si>
  <si>
    <t>Bobby</t>
  </si>
  <si>
    <t>Simperfi Roofing</t>
  </si>
  <si>
    <t>(443) 992-6516</t>
  </si>
  <si>
    <t>semperficontractor@yahoo.com</t>
  </si>
  <si>
    <t>Adam</t>
  </si>
  <si>
    <t>Collins</t>
  </si>
  <si>
    <t>Computer Tech</t>
  </si>
  <si>
    <t>Randy L.</t>
  </si>
  <si>
    <t>Nunnallylsra</t>
  </si>
  <si>
    <t>EXPERT WITNESS Â· CONSULTANT</t>
  </si>
  <si>
    <t>randy_sra@comcast.net</t>
  </si>
  <si>
    <t>2460 HY-CREST DRIVE WESTMINSTER Maryland 21158 USA</t>
  </si>
  <si>
    <t>Bruce</t>
  </si>
  <si>
    <t>Shawn</t>
  </si>
  <si>
    <t>hanley</t>
  </si>
  <si>
    <t>Carol</t>
  </si>
  <si>
    <t>Martin</t>
  </si>
  <si>
    <t>David &amp; Debbie</t>
  </si>
  <si>
    <t>Ford</t>
  </si>
  <si>
    <t>(410) 274-3781</t>
  </si>
  <si>
    <t>(410) 661-5425</t>
  </si>
  <si>
    <t>dford3@bcps.org</t>
  </si>
  <si>
    <t>2517 Perring Woods Rd Parkville MD 21234-5436 United States</t>
  </si>
  <si>
    <t>.185 acre, 2,422 sq feet, year built 1991</t>
  </si>
  <si>
    <t>Greenwalt</t>
  </si>
  <si>
    <t>Kyle</t>
  </si>
  <si>
    <t>Glass America</t>
  </si>
  <si>
    <t>(410) 683-2212</t>
  </si>
  <si>
    <t>8838 Orchard Tree Lane Towson MD 21030 United States</t>
  </si>
  <si>
    <t>Kim</t>
  </si>
  <si>
    <t>Murcaldo</t>
  </si>
  <si>
    <t>Gram</t>
  </si>
  <si>
    <t>Patty AupIr In America Son</t>
  </si>
  <si>
    <t>(504) 444-5111</t>
  </si>
  <si>
    <t>Casidy</t>
  </si>
  <si>
    <t>Chris</t>
  </si>
  <si>
    <t>Barns</t>
  </si>
  <si>
    <t>Ice Hockey</t>
  </si>
  <si>
    <t>+1 (410) 336-2172</t>
  </si>
  <si>
    <t>Aqua Adventures</t>
  </si>
  <si>
    <t>Upper Montclair</t>
  </si>
  <si>
    <t>Jeff</t>
  </si>
  <si>
    <t>Chalk</t>
  </si>
  <si>
    <t>(410) 977-1517</t>
  </si>
  <si>
    <t>(410) 526-4480</t>
  </si>
  <si>
    <t>348 Bee Tree Road Parkton MD 21120 United States</t>
  </si>
  <si>
    <t>84 Main Street  Reisterstown MD 21136</t>
  </si>
  <si>
    <t>Buckmeyer</t>
  </si>
  <si>
    <t>Charles</t>
  </si>
  <si>
    <t>Faults</t>
  </si>
  <si>
    <t>Mary</t>
  </si>
  <si>
    <t>Lowman</t>
  </si>
  <si>
    <t>(717) 637-2666</t>
  </si>
  <si>
    <t>Russ Interior</t>
  </si>
  <si>
    <t>Jemma</t>
  </si>
  <si>
    <t>Fulop</t>
  </si>
  <si>
    <t>+1 (410) 375-8137</t>
  </si>
  <si>
    <t>Ann</t>
  </si>
  <si>
    <t>(202) 966-6466</t>
  </si>
  <si>
    <t>Foutz</t>
  </si>
  <si>
    <t>(443) 417-6061</t>
  </si>
  <si>
    <t>1536  Jordan Sawmill Road Parkton MD 21120 United States</t>
  </si>
  <si>
    <t>Bozley</t>
  </si>
  <si>
    <t>Septic</t>
  </si>
  <si>
    <t>Denise</t>
  </si>
  <si>
    <t>Otto</t>
  </si>
  <si>
    <t>(443) 286-6787</t>
  </si>
  <si>
    <t>R.C.</t>
  </si>
  <si>
    <t>(410) 336-5200</t>
  </si>
  <si>
    <t>Rich</t>
  </si>
  <si>
    <t>Oliver</t>
  </si>
  <si>
    <t>(410) 382-3293</t>
  </si>
  <si>
    <t>Daniel Todd</t>
  </si>
  <si>
    <t>Kluegel</t>
  </si>
  <si>
    <t>ashleyyork@paashley.com</t>
  </si>
  <si>
    <t>905 A Loucks Rd York Pennsylvania 17404 USA</t>
  </si>
  <si>
    <t>bolton</t>
  </si>
  <si>
    <t>Weinreich</t>
  </si>
  <si>
    <t>+1 (717) 880-4774</t>
  </si>
  <si>
    <t>springdalehope@aol.com</t>
  </si>
  <si>
    <t>Owners</t>
  </si>
  <si>
    <t>manuals</t>
  </si>
  <si>
    <t>Helm</t>
  </si>
  <si>
    <t>1 (800) 782-4356</t>
  </si>
  <si>
    <t>Refered By Bill pierce</t>
  </si>
  <si>
    <t>(410) 804-0885</t>
  </si>
  <si>
    <t>Dave</t>
  </si>
  <si>
    <t>Braun</t>
  </si>
  <si>
    <t>(443) 909-8306</t>
  </si>
  <si>
    <t>Dr Brocato</t>
  </si>
  <si>
    <t>Ruth</t>
  </si>
  <si>
    <t>University Of Maryland</t>
  </si>
  <si>
    <t>(410) 252-2273</t>
  </si>
  <si>
    <t>1734 York Rd Timonium  MD 21093 United States</t>
  </si>
  <si>
    <t>Schaub</t>
  </si>
  <si>
    <t>+1 (443) 823-0933</t>
  </si>
  <si>
    <t>elizabeth@theschaubs.com</t>
  </si>
  <si>
    <t>2203 Forest Ridge Road Timonium MD 21093 United States</t>
  </si>
  <si>
    <t>Pontious</t>
  </si>
  <si>
    <t>Baltimore County</t>
  </si>
  <si>
    <t>+1 (410) 887-3774</t>
  </si>
  <si>
    <t>wpontious@co.ba.md.us</t>
  </si>
  <si>
    <t>County Office Building  111 West Chesapeake Avenue Room 200 Towson MD 21204 United States of America</t>
  </si>
  <si>
    <t>Katie</t>
  </si>
  <si>
    <t>Cook</t>
  </si>
  <si>
    <t>(443) 722-4092</t>
  </si>
  <si>
    <t>Burchraum</t>
  </si>
  <si>
    <t>B &amp; C Fire Supresant</t>
  </si>
  <si>
    <t>Discount</t>
  </si>
  <si>
    <t>tire dire</t>
  </si>
  <si>
    <t>Ferrer</t>
  </si>
  <si>
    <t>Carrier Mid-Atlantic</t>
  </si>
  <si>
    <t>(410) 981-4400</t>
  </si>
  <si>
    <t>7010 Dorsey Rd Hanover MD 21076 United States</t>
  </si>
  <si>
    <t>Bedal</t>
  </si>
  <si>
    <t>Adolfo</t>
  </si>
  <si>
    <t>Marim</t>
  </si>
  <si>
    <t>(410) 940-7448</t>
  </si>
  <si>
    <t>adolfov0426@gmail.com</t>
  </si>
  <si>
    <t>Keith</t>
  </si>
  <si>
    <t>Tax</t>
  </si>
  <si>
    <t>Id Number</t>
  </si>
  <si>
    <t>Pack</t>
  </si>
  <si>
    <t>Flooring Refinish. JP's Wood Solutions</t>
  </si>
  <si>
    <t>Darin</t>
  </si>
  <si>
    <t>Decker</t>
  </si>
  <si>
    <t>Decker Motor Car Co</t>
  </si>
  <si>
    <t>(315) 437-0900</t>
  </si>
  <si>
    <t>Scharfer</t>
  </si>
  <si>
    <t>The Sewing Place</t>
  </si>
  <si>
    <t>(410) 357-4044</t>
  </si>
  <si>
    <t>107 Mount Carmel Rd Parkton MD 21120 United States</t>
  </si>
  <si>
    <t>Prestige Design Build Llc</t>
  </si>
  <si>
    <t>MHIC # 102846</t>
  </si>
  <si>
    <t>Roberts Company</t>
  </si>
  <si>
    <t>(410) 828-7750</t>
  </si>
  <si>
    <t>D354k1ppc  01 high gloss</t>
  </si>
  <si>
    <t>Jessica</t>
  </si>
  <si>
    <t>Wienhold</t>
  </si>
  <si>
    <t>Cinder And Concrete</t>
  </si>
  <si>
    <t>(410) 666-2350</t>
  </si>
  <si>
    <t>JT</t>
  </si>
  <si>
    <t>Trim Intallation</t>
  </si>
  <si>
    <t>(410) 977-6988</t>
  </si>
  <si>
    <t>Kuhn</t>
  </si>
  <si>
    <t>Ashley</t>
  </si>
  <si>
    <t>Tarran-Jones</t>
  </si>
  <si>
    <t>(443) 827-8341</t>
  </si>
  <si>
    <t>atj@himmelrichassociates.com</t>
  </si>
  <si>
    <t>Pat &amp; Harry</t>
  </si>
  <si>
    <t>Mc Glocklin</t>
  </si>
  <si>
    <t>Verizon</t>
  </si>
  <si>
    <t>Jay</t>
  </si>
  <si>
    <t>Snouffer</t>
  </si>
  <si>
    <t>Anton - Elilian</t>
  </si>
  <si>
    <t>Mazza</t>
  </si>
  <si>
    <t>chefanlilicab@aol.com</t>
  </si>
  <si>
    <t>Marie</t>
  </si>
  <si>
    <t>Mcbride</t>
  </si>
  <si>
    <t>(410) 499-0652</t>
  </si>
  <si>
    <t>Joan</t>
  </si>
  <si>
    <t>Proctor</t>
  </si>
  <si>
    <t>Michelle</t>
  </si>
  <si>
    <t>Galiger</t>
  </si>
  <si>
    <t>(410) 203-2131</t>
  </si>
  <si>
    <t>Kevin &amp; Kristin</t>
  </si>
  <si>
    <t>Fusco</t>
  </si>
  <si>
    <t>1737 Monkton Farms Drive Monkton MD 21111 United States</t>
  </si>
  <si>
    <t>Ronald</t>
  </si>
  <si>
    <t>Lonberger</t>
  </si>
  <si>
    <t>+1 (410) 599-7974</t>
  </si>
  <si>
    <t>L &amp; L Supply</t>
  </si>
  <si>
    <t>Amanda</t>
  </si>
  <si>
    <t>Trippett</t>
  </si>
  <si>
    <t>2008 honda civic</t>
  </si>
  <si>
    <t>Schluter</t>
  </si>
  <si>
    <t>Customer Service</t>
  </si>
  <si>
    <t>Susan</t>
  </si>
  <si>
    <t>Roberts</t>
  </si>
  <si>
    <t>(813) 751-4404</t>
  </si>
  <si>
    <t>irvin</t>
  </si>
  <si>
    <t>Carson</t>
  </si>
  <si>
    <t>Patio Installer</t>
  </si>
  <si>
    <t>(443) 398-4212</t>
  </si>
  <si>
    <t>Keytly</t>
  </si>
  <si>
    <t>Maa Recon</t>
  </si>
  <si>
    <t>meyers strawbe</t>
  </si>
  <si>
    <t>Eric &amp; Marie</t>
  </si>
  <si>
    <t>Mckie</t>
  </si>
  <si>
    <t>(410) 323-2061</t>
  </si>
  <si>
    <t>46 Olmsted Green Ct Baltimore MD 21210 United States</t>
  </si>
  <si>
    <t>Sams Club</t>
  </si>
  <si>
    <t>(410) 628-7256</t>
  </si>
  <si>
    <t>ðŸ‘©ðŸ»â€ðŸ¦°RedsðŸ‘©ðŸ»â€ðŸ¦°</t>
  </si>
  <si>
    <t>+1 (410) 844-1701</t>
  </si>
  <si>
    <t>Dr Aronson</t>
  </si>
  <si>
    <t>(410) 598-7149</t>
  </si>
  <si>
    <t>Fernanda</t>
  </si>
  <si>
    <t>755-17-1646</t>
  </si>
  <si>
    <t>Alex</t>
  </si>
  <si>
    <t>Klaff</t>
  </si>
  <si>
    <t>+1 (443) 534-1014</t>
  </si>
  <si>
    <t>M&amp;t</t>
  </si>
  <si>
    <t>Geoffrey  Delamater</t>
  </si>
  <si>
    <t>Bobbie</t>
  </si>
  <si>
    <t>Knickman</t>
  </si>
  <si>
    <t>(443) 642-9370</t>
  </si>
  <si>
    <t>Paul &amp; Karen</t>
  </si>
  <si>
    <t>Evitts</t>
  </si>
  <si>
    <t>(410) 357-5414</t>
  </si>
  <si>
    <t>Marlon</t>
  </si>
  <si>
    <t>+1 (443) 739-0590</t>
  </si>
  <si>
    <t>Keystone Automotive</t>
  </si>
  <si>
    <t>(410) 636-4600</t>
  </si>
  <si>
    <t>822 Central Ave Linthicum MD 21090 United States</t>
  </si>
  <si>
    <t>Wolf Fire</t>
  </si>
  <si>
    <t>Adriana</t>
  </si>
  <si>
    <t>Burcowski</t>
  </si>
  <si>
    <t>+1 (202) 550-7394</t>
  </si>
  <si>
    <t>(410) 357-9190</t>
  </si>
  <si>
    <t>Beth</t>
  </si>
  <si>
    <t>Raugh</t>
  </si>
  <si>
    <t>(410) 371-9334</t>
  </si>
  <si>
    <t>(443) 804-0439</t>
  </si>
  <si>
    <t>Gibbles</t>
  </si>
  <si>
    <t>upholstery</t>
  </si>
  <si>
    <t>PEI WEI</t>
  </si>
  <si>
    <t>(410) 568-1911</t>
  </si>
  <si>
    <t>Irene</t>
  </si>
  <si>
    <t>Black</t>
  </si>
  <si>
    <t>(410) 252-6821</t>
  </si>
  <si>
    <t>reese</t>
  </si>
  <si>
    <t>Jason</t>
  </si>
  <si>
    <t>Cullum</t>
  </si>
  <si>
    <t>Ground Loop</t>
  </si>
  <si>
    <t>jason@groundloop.com</t>
  </si>
  <si>
    <t>Theresa</t>
  </si>
  <si>
    <t>Drayer</t>
  </si>
  <si>
    <t>(410) 790-2527</t>
  </si>
  <si>
    <t>braunguard</t>
  </si>
  <si>
    <t>Gene</t>
  </si>
  <si>
    <t>Molkau</t>
  </si>
  <si>
    <t>Vice President. Sr. Business Banking Relationship Manager</t>
  </si>
  <si>
    <t>emolkau@mtb.com</t>
  </si>
  <si>
    <t>Lorri</t>
  </si>
  <si>
    <t>Burgess</t>
  </si>
  <si>
    <t>Signsation</t>
  </si>
  <si>
    <t>(410) 453-9003</t>
  </si>
  <si>
    <t>hughs</t>
  </si>
  <si>
    <t>Ritchie</t>
  </si>
  <si>
    <t>Coldwell Banker</t>
  </si>
  <si>
    <t>(410) 215-1123</t>
  </si>
  <si>
    <t>(410) 931-9000</t>
  </si>
  <si>
    <t>rritchie@cbmove.com</t>
  </si>
  <si>
    <t>7939 Honeygo Blvd Ste 108 Baltimore MD 21236 United States</t>
  </si>
  <si>
    <t>Lansinger</t>
  </si>
  <si>
    <t>(443) 562-6197</t>
  </si>
  <si>
    <t>Sky Zone</t>
  </si>
  <si>
    <t>(443) 546-4477</t>
  </si>
  <si>
    <t>Darcie</t>
  </si>
  <si>
    <t>Badami</t>
  </si>
  <si>
    <t>dbadami@bcps.org</t>
  </si>
  <si>
    <t>Cushing</t>
  </si>
  <si>
    <t>2114 Forest Ridge Rd Timonium MD 21093 United States</t>
  </si>
  <si>
    <t>Mave</t>
  </si>
  <si>
    <t>Duffy</t>
  </si>
  <si>
    <t>BRIAN</t>
  </si>
  <si>
    <t>Neff's</t>
  </si>
  <si>
    <t>NEFF'S LOCK AND KEY</t>
  </si>
  <si>
    <t>LOCKSMITH</t>
  </si>
  <si>
    <t>717-392-6333</t>
  </si>
  <si>
    <t>717-629-9298</t>
  </si>
  <si>
    <t xml:space="preserve">1039 N. CHRISTIAN ST. LANCASTER PA.  </t>
  </si>
  <si>
    <t>Meg</t>
  </si>
  <si>
    <t>(443) 854-9090</t>
  </si>
  <si>
    <t>Mdougherty@jhmi.edu</t>
  </si>
  <si>
    <t>Dianne</t>
  </si>
  <si>
    <t>Tilley</t>
  </si>
  <si>
    <t>diannetilley@msn.com</t>
  </si>
  <si>
    <t>Code 5755</t>
  </si>
  <si>
    <t>Peg Stessman</t>
  </si>
  <si>
    <t>Liu</t>
  </si>
  <si>
    <t>+1 (443) 248-9212</t>
  </si>
  <si>
    <t>bmoresilk@gmail.com</t>
  </si>
  <si>
    <t>Boyd</t>
  </si>
  <si>
    <t>(410) 689-9771</t>
  </si>
  <si>
    <t>pirone</t>
  </si>
  <si>
    <t>Seth</t>
  </si>
  <si>
    <t>Hamed</t>
  </si>
  <si>
    <t>(410) 935-4717</t>
  </si>
  <si>
    <t>Shane</t>
  </si>
  <si>
    <t>Top Notch</t>
  </si>
  <si>
    <t>(410) 375-0060</t>
  </si>
  <si>
    <t>Conklin</t>
  </si>
  <si>
    <t>Emaculent Detailing</t>
  </si>
  <si>
    <t>(410) 780-9300</t>
  </si>
  <si>
    <t>Jesse</t>
  </si>
  <si>
    <t>Maurice</t>
  </si>
  <si>
    <t>(443) 564-5869</t>
  </si>
  <si>
    <t>Peter</t>
  </si>
  <si>
    <t>Dreyer</t>
  </si>
  <si>
    <t>(301) 788-2761</t>
  </si>
  <si>
    <t>Parks</t>
  </si>
  <si>
    <t>Dpw</t>
  </si>
  <si>
    <t>(410) 652-6135</t>
  </si>
  <si>
    <t>Cluever</t>
  </si>
  <si>
    <t>Sanborn Concrete</t>
  </si>
  <si>
    <t>Kim Kepper</t>
  </si>
  <si>
    <t>Mommom</t>
  </si>
  <si>
    <t>Barbie</t>
  </si>
  <si>
    <t>Bush</t>
  </si>
  <si>
    <t>(443) 980-9822</t>
  </si>
  <si>
    <t>perone</t>
  </si>
  <si>
    <t>Jpirone@jjmcdonnell.com</t>
  </si>
  <si>
    <t>David</t>
  </si>
  <si>
    <t>Green</t>
  </si>
  <si>
    <t>Ex Employee</t>
  </si>
  <si>
    <t>(443) 566-0597</t>
  </si>
  <si>
    <t>Uncle</t>
  </si>
  <si>
    <t>Phill</t>
  </si>
  <si>
    <t>(410) 605-2605</t>
  </si>
  <si>
    <t>philipcadkins@icloud.com</t>
  </si>
  <si>
    <t>3922 Norrisville Road Jarrettsville MD 21084 United States    United States</t>
  </si>
  <si>
    <t>Lara</t>
  </si>
  <si>
    <t>Anne</t>
  </si>
  <si>
    <t>Lough</t>
  </si>
  <si>
    <t>(650) 248-3341</t>
  </si>
  <si>
    <t>masters</t>
  </si>
  <si>
    <t>Dietz</t>
  </si>
  <si>
    <t>Km Dietz Farm</t>
  </si>
  <si>
    <t>Po Box 255 Glen Arm MD 21057 United States</t>
  </si>
  <si>
    <t>Laxaro</t>
  </si>
  <si>
    <t>Parris</t>
  </si>
  <si>
    <t>(410) 960-8755</t>
  </si>
  <si>
    <t>Carlene</t>
  </si>
  <si>
    <t>Randolph</t>
  </si>
  <si>
    <t>(443) 204-1223</t>
  </si>
  <si>
    <t>Tirerack</t>
  </si>
  <si>
    <t>(410) 456-8909</t>
  </si>
  <si>
    <t>Jacob</t>
  </si>
  <si>
    <t>Zajdel</t>
  </si>
  <si>
    <t>McKelvie</t>
  </si>
  <si>
    <t>Bretheren Mutual Ins.</t>
  </si>
  <si>
    <t>(301) 739-0950</t>
  </si>
  <si>
    <t>Garage Doors</t>
  </si>
  <si>
    <t>Ss White</t>
  </si>
  <si>
    <t>(410) 771-1020</t>
  </si>
  <si>
    <t>Gilbert</t>
  </si>
  <si>
    <t>Attorney</t>
  </si>
  <si>
    <t>Tracey</t>
  </si>
  <si>
    <t>Theater</t>
  </si>
  <si>
    <t>Landau</t>
  </si>
  <si>
    <t>Mike &amp; Molly</t>
  </si>
  <si>
    <t>Ward</t>
  </si>
  <si>
    <t>3 Andrews Ct Parkton MD 21120 United States</t>
  </si>
  <si>
    <t>Sheron</t>
  </si>
  <si>
    <t>Cell</t>
  </si>
  <si>
    <t>tlewis@fast.net</t>
  </si>
  <si>
    <t>Kennedy Krieger Institute</t>
  </si>
  <si>
    <t>(443) 923-7300</t>
  </si>
  <si>
    <t>707 N. Broadway Baltimore MD 21205 United States</t>
  </si>
  <si>
    <t>Lucia</t>
  </si>
  <si>
    <t>Beverly</t>
  </si>
  <si>
    <t>Janson</t>
  </si>
  <si>
    <t>SLEEP Number</t>
  </si>
  <si>
    <t>Store Manager</t>
  </si>
  <si>
    <t>Annapolla Mall 1400 Annapolis Mall ' Arinapolla  Maryland 21401 USA</t>
  </si>
  <si>
    <t>Strapasta</t>
  </si>
  <si>
    <t>(410) 628-6004</t>
  </si>
  <si>
    <t>Timothy</t>
  </si>
  <si>
    <t>Manuelides</t>
  </si>
  <si>
    <t>(443) 538-5725</t>
  </si>
  <si>
    <t>7057 Cradlerock Farm Ct    United States</t>
  </si>
  <si>
    <t>Prechio</t>
  </si>
  <si>
    <t>Marita</t>
  </si>
  <si>
    <t>(410) 627-9357</t>
  </si>
  <si>
    <t>maritamike@gmail.com</t>
  </si>
  <si>
    <t>Forbes</t>
  </si>
  <si>
    <t>rick@forbesdesigncenter.com</t>
  </si>
  <si>
    <t>Eric</t>
  </si>
  <si>
    <t>Jennson</t>
  </si>
  <si>
    <t>Electrition</t>
  </si>
  <si>
    <t>(443) 865-4535</t>
  </si>
  <si>
    <t>Matthew</t>
  </si>
  <si>
    <t>Platania</t>
  </si>
  <si>
    <t>Bogley</t>
  </si>
  <si>
    <t>Bill &amp; Karen</t>
  </si>
  <si>
    <t>Zoli</t>
  </si>
  <si>
    <t>(443) 421-1870</t>
  </si>
  <si>
    <t>2002 Norwood Ct Fallston MD  United States</t>
  </si>
  <si>
    <t>Jan</t>
  </si>
  <si>
    <t>(412) 606-5019</t>
  </si>
  <si>
    <t>+1 (202) 577-9033</t>
  </si>
  <si>
    <t>Miranda</t>
  </si>
  <si>
    <t>Fox</t>
  </si>
  <si>
    <t>(443) 212-5188</t>
  </si>
  <si>
    <t>Raphael</t>
  </si>
  <si>
    <t>Benicewicz</t>
  </si>
  <si>
    <t>(410) 698-7235</t>
  </si>
  <si>
    <t>Kerr</t>
  </si>
  <si>
    <t>(443) 416-5810</t>
  </si>
  <si>
    <t>(410) 378-5543</t>
  </si>
  <si>
    <t>chriskerr350@hotmail.com</t>
  </si>
  <si>
    <t>Kevin &amp; Marybeth</t>
  </si>
  <si>
    <t>Drumheller</t>
  </si>
  <si>
    <t>23 Cherrywood Ct Cockeysville MD 21030 United States</t>
  </si>
  <si>
    <t>Jose</t>
  </si>
  <si>
    <t>Sanchez</t>
  </si>
  <si>
    <t>(410) 258-0358</t>
  </si>
  <si>
    <t>(410) 453-0271</t>
  </si>
  <si>
    <t>237 E Timonium Rd Lutherville MD 21093 United States</t>
  </si>
  <si>
    <t>Sean</t>
  </si>
  <si>
    <t>Clipper City</t>
  </si>
  <si>
    <t>Lisa</t>
  </si>
  <si>
    <t>Dayan</t>
  </si>
  <si>
    <t>Permits Expiditor</t>
  </si>
  <si>
    <t>(410) 419-0063</t>
  </si>
  <si>
    <t>(410) 653-3838</t>
  </si>
  <si>
    <t>ldayan@cmrengineers.com</t>
  </si>
  <si>
    <t>Ronny</t>
  </si>
  <si>
    <t>Best</t>
  </si>
  <si>
    <t>Best Automotive</t>
  </si>
  <si>
    <t>Jordan</t>
  </si>
  <si>
    <t>98 99 jeep grand  100 - 125 k  On the road $5,000.00</t>
  </si>
  <si>
    <t>Eisenberg</t>
  </si>
  <si>
    <t>Pearce</t>
  </si>
  <si>
    <t>(410) 627-5200</t>
  </si>
  <si>
    <t>Gray</t>
  </si>
  <si>
    <t>410-329-2104</t>
  </si>
  <si>
    <t>Jerrys</t>
  </si>
  <si>
    <t>Chevrolet</t>
  </si>
  <si>
    <t xml:space="preserve">    </t>
  </si>
  <si>
    <t>Joe &amp; Kim</t>
  </si>
  <si>
    <t>Nawrocki</t>
  </si>
  <si>
    <t>Renata</t>
  </si>
  <si>
    <t>(443) 894-1558</t>
  </si>
  <si>
    <t>Babcock</t>
  </si>
  <si>
    <t>(410) 241-4661</t>
  </si>
  <si>
    <t>Brown</t>
  </si>
  <si>
    <t>(410) 591-0053</t>
  </si>
  <si>
    <t>(410) 561-5166</t>
  </si>
  <si>
    <t>Greenspeed Recumbent Bikes</t>
  </si>
  <si>
    <t>(717) 553-5834</t>
  </si>
  <si>
    <t>info@lancasterrecumbent.com</t>
  </si>
  <si>
    <t>2207 Marietta Ave Lancaster PA 17603 United States</t>
  </si>
  <si>
    <t>Annie</t>
  </si>
  <si>
    <t>(410) 935-2270</t>
  </si>
  <si>
    <t>Heritage</t>
  </si>
  <si>
    <t>dodge</t>
  </si>
  <si>
    <t>Lawn Doctor</t>
  </si>
  <si>
    <t>Darlene</t>
  </si>
  <si>
    <t>(410) 458-6057</t>
  </si>
  <si>
    <t>Mount Ave    United States</t>
  </si>
  <si>
    <t>Meadowcroft</t>
  </si>
  <si>
    <t>Charley</t>
  </si>
  <si>
    <t>Ives</t>
  </si>
  <si>
    <t>(410) 584-9079</t>
  </si>
  <si>
    <t>Rexel</t>
  </si>
  <si>
    <t>(410) 561-5050</t>
  </si>
  <si>
    <t>Castle</t>
  </si>
  <si>
    <t>(443) 633-1405</t>
  </si>
  <si>
    <t>17388 Lutz Rd Stewartstown PA 17363 United States</t>
  </si>
  <si>
    <t>Diane</t>
  </si>
  <si>
    <t>Caine</t>
  </si>
  <si>
    <t>(803) 408-0169</t>
  </si>
  <si>
    <t>skutrmama@gmail.com</t>
  </si>
  <si>
    <t>Jaqie</t>
  </si>
  <si>
    <t>(484) 844-3210</t>
  </si>
  <si>
    <t>Dinning</t>
  </si>
  <si>
    <t>(443) 756-7667</t>
  </si>
  <si>
    <t>717-430-1640</t>
  </si>
  <si>
    <t>Rodney</t>
  </si>
  <si>
    <t>R&amp;L Carriers</t>
  </si>
  <si>
    <t>Bauerlein Jr.</t>
  </si>
  <si>
    <t>Valley Glass</t>
  </si>
  <si>
    <t>Norton</t>
  </si>
  <si>
    <t>+1 (704) 819-3344</t>
  </si>
  <si>
    <t>Potter</t>
  </si>
  <si>
    <t>Potter Contracting</t>
  </si>
  <si>
    <t>Schwartz</t>
  </si>
  <si>
    <t>+1 (443) 617-2808</t>
  </si>
  <si>
    <t>Raymond</t>
  </si>
  <si>
    <t>Unterbrink</t>
  </si>
  <si>
    <t>David &amp; Sarina</t>
  </si>
  <si>
    <t>(912) 399-9006</t>
  </si>
  <si>
    <t>Green Thumb</t>
  </si>
  <si>
    <t>Lawn</t>
  </si>
  <si>
    <t>Green Thumb Lawn</t>
  </si>
  <si>
    <t>(443) 895-1176</t>
  </si>
  <si>
    <t>bigsr2@comcast.net</t>
  </si>
  <si>
    <t>Po Box 806 Parkton MD 21120 United States</t>
  </si>
  <si>
    <t>Moulton</t>
  </si>
  <si>
    <t>VSC Sprikler</t>
  </si>
  <si>
    <t>(301) 575-1500</t>
  </si>
  <si>
    <t>Eunhee</t>
  </si>
  <si>
    <t>(410) 519-5767</t>
  </si>
  <si>
    <t>Mandras</t>
  </si>
  <si>
    <t>(410) 302-5084</t>
  </si>
  <si>
    <t>(410) 356-9323</t>
  </si>
  <si>
    <t>9 Lakeshire Ct Owingsmills MD  United States</t>
  </si>
  <si>
    <t>River run</t>
  </si>
  <si>
    <t>(540) 438-5973</t>
  </si>
  <si>
    <t>Order # 026561</t>
  </si>
  <si>
    <t>Margie</t>
  </si>
  <si>
    <t>(443) 610-2179</t>
  </si>
  <si>
    <t>Chip</t>
  </si>
  <si>
    <t>elaine</t>
  </si>
  <si>
    <t>+1 (410) 458-9266</t>
  </si>
  <si>
    <t>Glantz</t>
  </si>
  <si>
    <t>Bob Cat Repair</t>
  </si>
  <si>
    <t>(443) 220-4966</t>
  </si>
  <si>
    <t>fannin</t>
  </si>
  <si>
    <t>1901 Green Hill Rd Jarretsville MD 21004 United States</t>
  </si>
  <si>
    <t>Baltimore Window Factory</t>
  </si>
  <si>
    <t>(410) 574-4750</t>
  </si>
  <si>
    <t>8871 Citation Rd Essex MD 21221 United States</t>
  </si>
  <si>
    <t>Mosley</t>
  </si>
  <si>
    <t>Normans</t>
  </si>
  <si>
    <t>tag title</t>
  </si>
  <si>
    <t>(410) 963-5027</t>
  </si>
  <si>
    <t>Jewl</t>
  </si>
  <si>
    <t>Bernadette</t>
  </si>
  <si>
    <t>Toohey</t>
  </si>
  <si>
    <t>Bernadette.toohey@gmail.com</t>
  </si>
  <si>
    <t>8 Oakridge Ct Litherville MD 21093 United States</t>
  </si>
  <si>
    <t>Camp Luray Virginia</t>
  </si>
  <si>
    <t>1 (800) 420-6679</t>
  </si>
  <si>
    <t>(443) 250-5289</t>
  </si>
  <si>
    <t>Taylor</t>
  </si>
  <si>
    <t>(443) 578-6690</t>
  </si>
  <si>
    <t>Sams</t>
  </si>
  <si>
    <t>Creek</t>
  </si>
  <si>
    <t>quickbooks-email@intuit.com</t>
  </si>
  <si>
    <t>Ferguson Wesminster</t>
  </si>
  <si>
    <t>(410) 386-0584</t>
  </si>
  <si>
    <t>Pati</t>
  </si>
  <si>
    <t>Rob Barrow</t>
  </si>
  <si>
    <t>(410) 426-6647</t>
  </si>
  <si>
    <t>3800 Fleetwood Ave  MD 21206 United States</t>
  </si>
  <si>
    <t>Shorty</t>
  </si>
  <si>
    <t>Enterpise Upholstery</t>
  </si>
  <si>
    <t>(410) 893-9684</t>
  </si>
  <si>
    <t>1307 Enterprise Court #3 Bel Air MD 21014 United States</t>
  </si>
  <si>
    <t>Jamie</t>
  </si>
  <si>
    <t>J W &amp; Son</t>
  </si>
  <si>
    <t>(443) 460-1000</t>
  </si>
  <si>
    <t>Daniella</t>
  </si>
  <si>
    <t>Leseur</t>
  </si>
  <si>
    <t>(404) 702-9886</t>
  </si>
  <si>
    <t>Bar tender at Barrett's grill huntvalley</t>
  </si>
  <si>
    <t xml:space="preserve">Spare Phone. </t>
  </si>
  <si>
    <t>(443) 520-5659</t>
  </si>
  <si>
    <t>(410) 790-6727</t>
  </si>
  <si>
    <t>Tim.Davis@GenesisHCC.com</t>
  </si>
  <si>
    <t>505 Timber Springs Reisterstown MD  United States</t>
  </si>
  <si>
    <t>Forostiak</t>
  </si>
  <si>
    <t>(267) 574-3572</t>
  </si>
  <si>
    <t>Serita</t>
  </si>
  <si>
    <t>Weathersby</t>
  </si>
  <si>
    <t>Keller Williams</t>
  </si>
  <si>
    <t>+1 (301) 604-3069</t>
  </si>
  <si>
    <t>Serpico Pizza &amp; Pasta</t>
  </si>
  <si>
    <t>(410) 472-3702</t>
  </si>
  <si>
    <t>Jones Well Drilling</t>
  </si>
  <si>
    <t>(443) 807-7046</t>
  </si>
  <si>
    <t>Shawn &amp; Pamela</t>
  </si>
  <si>
    <t>mc Laughlin</t>
  </si>
  <si>
    <t>4531 Oak Ridge Dr Street MD 21154 United States</t>
  </si>
  <si>
    <t>Uber</t>
  </si>
  <si>
    <t>(410) 443-4825</t>
  </si>
  <si>
    <t>Angie</t>
  </si>
  <si>
    <t>Barrett</t>
  </si>
  <si>
    <t>(410) 984-1983</t>
  </si>
  <si>
    <t>Post Beam</t>
  </si>
  <si>
    <t>Sears</t>
  </si>
  <si>
    <t>Holdings</t>
  </si>
  <si>
    <t>Cain</t>
  </si>
  <si>
    <t>+1 (410) 733-6444</t>
  </si>
  <si>
    <t>dcain@jhmi.edu</t>
  </si>
  <si>
    <t>Wilson</t>
  </si>
  <si>
    <t>Wilson Deagen</t>
  </si>
  <si>
    <t>Layton</t>
  </si>
  <si>
    <t>Goodman</t>
  </si>
  <si>
    <t>Tile</t>
  </si>
  <si>
    <t>Dan and Beth friend</t>
  </si>
  <si>
    <t>UShip</t>
  </si>
  <si>
    <t>Lowes</t>
  </si>
  <si>
    <t>Judd Fire</t>
  </si>
  <si>
    <t>fred@juddfire.com</t>
  </si>
  <si>
    <t>Nilsa</t>
  </si>
  <si>
    <t>Emmerson</t>
  </si>
  <si>
    <t>Carvahllo</t>
  </si>
  <si>
    <t>Oakley</t>
  </si>
  <si>
    <t>Van Eron</t>
  </si>
  <si>
    <t>(443) 799-8949</t>
  </si>
  <si>
    <t>Peter &amp; Christina</t>
  </si>
  <si>
    <t>Constantinou</t>
  </si>
  <si>
    <t>(410) 584-9562</t>
  </si>
  <si>
    <t>pconstantinou@comcast.net</t>
  </si>
  <si>
    <t>28 Silversage Court Huntvalley MD 21030 United States</t>
  </si>
  <si>
    <t>Shrewsbury Cycle</t>
  </si>
  <si>
    <t>(717) 227-3561</t>
  </si>
  <si>
    <t>Rabecca</t>
  </si>
  <si>
    <t>Watts</t>
  </si>
  <si>
    <t>(410) 628-2288</t>
  </si>
  <si>
    <t>3610 Lordbaltimore way</t>
  </si>
  <si>
    <t>Nick</t>
  </si>
  <si>
    <t>Hardebeck</t>
  </si>
  <si>
    <t>Powder Coat</t>
  </si>
  <si>
    <t>(410) 340-0601</t>
  </si>
  <si>
    <t>Gary</t>
  </si>
  <si>
    <t>Nesbitt</t>
  </si>
  <si>
    <t>gsnesbitt@verizon.net</t>
  </si>
  <si>
    <t>Abigail</t>
  </si>
  <si>
    <t>Padonia Swim Instuctor</t>
  </si>
  <si>
    <t>(443) 204-2675</t>
  </si>
  <si>
    <t>Charly</t>
  </si>
  <si>
    <t>hubler</t>
  </si>
  <si>
    <t>Carvhallo</t>
  </si>
  <si>
    <t>+1 (443) 414-6254</t>
  </si>
  <si>
    <t>Persel</t>
  </si>
  <si>
    <t>Downsyndrome chapter golf organiser</t>
  </si>
  <si>
    <t>Emily</t>
  </si>
  <si>
    <t>First Home Mortgage</t>
  </si>
  <si>
    <t>4109333100+1067</t>
  </si>
  <si>
    <t>ehall@firsthome.com</t>
  </si>
  <si>
    <t>Kosiak</t>
  </si>
  <si>
    <t>(301) 944-4779</t>
  </si>
  <si>
    <t>Milt</t>
  </si>
  <si>
    <t>(443) 616-4378</t>
  </si>
  <si>
    <t>John &amp; Charlene</t>
  </si>
  <si>
    <t>Foote</t>
  </si>
  <si>
    <t>3025 Lieb Rd Parkton MD 21120 United States</t>
  </si>
  <si>
    <t>Bernice</t>
  </si>
  <si>
    <t>Wolfson</t>
  </si>
  <si>
    <t>bwolfson0@verizon.net</t>
  </si>
  <si>
    <t>12 Deaven Ct Baltimore MD 21209 United States</t>
  </si>
  <si>
    <t>rochard</t>
  </si>
  <si>
    <t>Mike &amp; Shannan</t>
  </si>
  <si>
    <t>Eisenklam</t>
  </si>
  <si>
    <t>505 Montclair Ct Parkton MD 21120 United States</t>
  </si>
  <si>
    <t xml:space="preserve">Dave </t>
  </si>
  <si>
    <t>Stains</t>
  </si>
  <si>
    <t>Swam Electric</t>
  </si>
  <si>
    <t>Laura</t>
  </si>
  <si>
    <t>Burke</t>
  </si>
  <si>
    <t>Mm Bank</t>
  </si>
  <si>
    <t>Branch Manager</t>
  </si>
  <si>
    <t>lburke@mtb.com</t>
  </si>
  <si>
    <t>Hereford Branch 212 Mount Carmel Road Parkton  Maryland 21120 USA</t>
  </si>
  <si>
    <t>Carey</t>
  </si>
  <si>
    <t>Harper</t>
  </si>
  <si>
    <t>(410) 713-5685</t>
  </si>
  <si>
    <t>iamharper@yahoo</t>
  </si>
  <si>
    <t>tinting</t>
  </si>
  <si>
    <t>Leroy</t>
  </si>
  <si>
    <t>Atlas</t>
  </si>
  <si>
    <t>(443) 525-7025</t>
  </si>
  <si>
    <t>Barkley</t>
  </si>
  <si>
    <t>Thomas Jr</t>
  </si>
  <si>
    <t>(443) 677-4085</t>
  </si>
  <si>
    <t>Tyrone</t>
  </si>
  <si>
    <t>Interested in commander</t>
  </si>
  <si>
    <t>Transportation</t>
  </si>
  <si>
    <t>ASTEROID CORP</t>
  </si>
  <si>
    <t>asteroidi969@gmail.com</t>
  </si>
  <si>
    <t>Julio</t>
  </si>
  <si>
    <t>yinshaw</t>
  </si>
  <si>
    <t>Harten</t>
  </si>
  <si>
    <t>Vice President Senior Branch Manaqet PRESIDENT'S COUNCIL</t>
  </si>
  <si>
    <t>+1 (443) 690-3255</t>
  </si>
  <si>
    <t>charten@mtb.com</t>
  </si>
  <si>
    <t>Burke Avenue Branch 32 York Road Towson  Maryland 21204 USA</t>
  </si>
  <si>
    <t>Rebounders</t>
  </si>
  <si>
    <t>(410) 252-3374</t>
  </si>
  <si>
    <t>quigley</t>
  </si>
  <si>
    <t>Reppe</t>
  </si>
  <si>
    <t>(410) 984-5660</t>
  </si>
  <si>
    <t>robertreppe@aol.com</t>
  </si>
  <si>
    <t>Stephan &amp; Bridget</t>
  </si>
  <si>
    <t>Koch</t>
  </si>
  <si>
    <t>(443) 286-4692</t>
  </si>
  <si>
    <t>skoch@mskpartners.com</t>
  </si>
  <si>
    <t>6 Carroll Run Ct Phoenix MD 21131 United States</t>
  </si>
  <si>
    <t>Garrett</t>
  </si>
  <si>
    <t>Pfeifer</t>
  </si>
  <si>
    <t>1315 Aintree Road Towson MD 21286 United States</t>
  </si>
  <si>
    <t>Seymore</t>
  </si>
  <si>
    <t>(410) 808-0248</t>
  </si>
  <si>
    <t>Zach</t>
  </si>
  <si>
    <t>Gilden</t>
  </si>
  <si>
    <t>Berg Demo</t>
  </si>
  <si>
    <t>Stone for Paul Evits</t>
  </si>
  <si>
    <t>Seymoue</t>
  </si>
  <si>
    <t>Gina</t>
  </si>
  <si>
    <t>Socha</t>
  </si>
  <si>
    <t>4706 Norrisville Rd Whitehall MD 21161 United States</t>
  </si>
  <si>
    <t>Locke</t>
  </si>
  <si>
    <t>(717) 993-0155</t>
  </si>
  <si>
    <t>Egorin-hooper</t>
  </si>
  <si>
    <t>Office Special Ed</t>
  </si>
  <si>
    <t>Luis</t>
  </si>
  <si>
    <t>Roofer</t>
  </si>
  <si>
    <t>Tire</t>
  </si>
  <si>
    <t>distributors</t>
  </si>
  <si>
    <t>Woodfire Kitchen</t>
  </si>
  <si>
    <t>(443) 491-3505</t>
  </si>
  <si>
    <t>Wiley</t>
  </si>
  <si>
    <t>1 (717) 443-4109</t>
  </si>
  <si>
    <t>Marylinda</t>
  </si>
  <si>
    <t>morgan</t>
  </si>
  <si>
    <t>Harriet</t>
  </si>
  <si>
    <t>(713) 213-1955</t>
  </si>
  <si>
    <t>9791 Bonhaven Ln Owings Mills MD 21117 United States</t>
  </si>
  <si>
    <t>Maria's Sub Shop</t>
  </si>
  <si>
    <t>1 (410) 252-5170</t>
  </si>
  <si>
    <t>Bryant</t>
  </si>
  <si>
    <t>(443) 847-0063</t>
  </si>
  <si>
    <t>Toni</t>
  </si>
  <si>
    <t>Saddler</t>
  </si>
  <si>
    <t>Fmc</t>
  </si>
  <si>
    <t>(410) 808-2129</t>
  </si>
  <si>
    <t>Harris Home Flooring</t>
  </si>
  <si>
    <t xml:space="preserve"> Pheonix MD 21131 United States</t>
  </si>
  <si>
    <t>Morse</t>
  </si>
  <si>
    <t>JScott Morse</t>
  </si>
  <si>
    <t>(410) 747-2019</t>
  </si>
  <si>
    <t>Tracy</t>
  </si>
  <si>
    <t>Carmines</t>
  </si>
  <si>
    <t>pizza</t>
  </si>
  <si>
    <t>Miller</t>
  </si>
  <si>
    <t>(443) 491-3359</t>
  </si>
  <si>
    <t>Painter</t>
  </si>
  <si>
    <t>dawson</t>
  </si>
  <si>
    <t>Morris</t>
  </si>
  <si>
    <t>Baltimore City Building Inspector</t>
  </si>
  <si>
    <t>Rockwitz</t>
  </si>
  <si>
    <t>(347) 661-1277</t>
  </si>
  <si>
    <t>2703 Saint Paul St Baltimore Maryland 21218 United States</t>
  </si>
  <si>
    <t>Waechter</t>
  </si>
  <si>
    <t>(410) 627-2400</t>
  </si>
  <si>
    <t>Amy</t>
  </si>
  <si>
    <t>(410) 259-6998</t>
  </si>
  <si>
    <t>Amynsmith82@yahoo.com</t>
  </si>
  <si>
    <t>Scott&amp;ally</t>
  </si>
  <si>
    <t>Reber</t>
  </si>
  <si>
    <t>(410) 320-8059</t>
  </si>
  <si>
    <t>(410) 472-2885</t>
  </si>
  <si>
    <t>Customer</t>
  </si>
  <si>
    <t>Care</t>
  </si>
  <si>
    <t>Ed</t>
  </si>
  <si>
    <t>Wise</t>
  </si>
  <si>
    <t>Dish Network</t>
  </si>
  <si>
    <t>Dr Vanguri</t>
  </si>
  <si>
    <t>(410) 252-4440</t>
  </si>
  <si>
    <t>1 Ivy Reach Ct Cockeysville MD 21030 United States</t>
  </si>
  <si>
    <t>Butz</t>
  </si>
  <si>
    <t>(443) 794-3998</t>
  </si>
  <si>
    <t>1404 Magers Landing Road Parkton MD 21120 United States</t>
  </si>
  <si>
    <t>Kathy</t>
  </si>
  <si>
    <t>Brugh</t>
  </si>
  <si>
    <t>(410) 688-3183</t>
  </si>
  <si>
    <t>Deasel</t>
  </si>
  <si>
    <t>Construction</t>
  </si>
  <si>
    <t>(410) 925-4461</t>
  </si>
  <si>
    <t>+1 (862) 258-0111</t>
  </si>
  <si>
    <t>Courtney</t>
  </si>
  <si>
    <t>Graefi</t>
  </si>
  <si>
    <t>(443) 987-4071</t>
  </si>
  <si>
    <t>Ally</t>
  </si>
  <si>
    <t>ajlf64@hotmail.com</t>
  </si>
  <si>
    <t>Joe</t>
  </si>
  <si>
    <t>Feeedman</t>
  </si>
  <si>
    <t>Sound Solutions</t>
  </si>
  <si>
    <t>Craig &amp; Brenda</t>
  </si>
  <si>
    <t>English</t>
  </si>
  <si>
    <t>Hogan</t>
  </si>
  <si>
    <t>Brooks</t>
  </si>
  <si>
    <t>Church</t>
  </si>
  <si>
    <t>(410) 529-6165</t>
  </si>
  <si>
    <t>Sanchose</t>
  </si>
  <si>
    <t>Orkin Pest Control</t>
  </si>
  <si>
    <t>(443) 839-9838</t>
  </si>
  <si>
    <t>Fraternity Federal</t>
  </si>
  <si>
    <t>(410) 628-7809</t>
  </si>
  <si>
    <t>hargrove</t>
  </si>
  <si>
    <t>hargrovedesigns@verizon.net</t>
  </si>
  <si>
    <t>Malstrom</t>
  </si>
  <si>
    <t>(443) 966-4581</t>
  </si>
  <si>
    <t>(410) 527-1818</t>
  </si>
  <si>
    <t>TW Perry</t>
  </si>
  <si>
    <t>(410) 350-0750</t>
  </si>
  <si>
    <t>4321 Fitch Ave Baltimore MD 21236 United States</t>
  </si>
  <si>
    <t>Janice</t>
  </si>
  <si>
    <t>Verdoramo</t>
  </si>
  <si>
    <t>(410) 790-2436</t>
  </si>
  <si>
    <t>Tile Installer</t>
  </si>
  <si>
    <t>(410) 236-2711</t>
  </si>
  <si>
    <t>Heads</t>
  </si>
  <si>
    <t>Golf Instructor</t>
  </si>
  <si>
    <t>(410) 591-7557</t>
  </si>
  <si>
    <t>(410) 925-6529</t>
  </si>
  <si>
    <t>Aldo</t>
  </si>
  <si>
    <t>Figueroa</t>
  </si>
  <si>
    <t>410-561-3017</t>
  </si>
  <si>
    <t>Homes@RealEstateByAldo.com</t>
  </si>
  <si>
    <t>Mitchell</t>
  </si>
  <si>
    <t>(203) 912-0067</t>
  </si>
  <si>
    <t>(410) 484-6419</t>
  </si>
  <si>
    <t>Steve.Mitchell@sac.com</t>
  </si>
  <si>
    <t>Michelle  Du</t>
  </si>
  <si>
    <t>Austin</t>
  </si>
  <si>
    <t>Cub Scour Store</t>
  </si>
  <si>
    <t>(410) 338-0144</t>
  </si>
  <si>
    <t>Butch</t>
  </si>
  <si>
    <t>Sprinkler Guy</t>
  </si>
  <si>
    <t>Kevin &amp; Debra</t>
  </si>
  <si>
    <t>Dooley</t>
  </si>
  <si>
    <t>(410) 785-0829</t>
  </si>
  <si>
    <t>13 Twinleaf Ct Cockeysville MD 21030 United States</t>
  </si>
  <si>
    <t>Susnowitz</t>
  </si>
  <si>
    <t>Colleen</t>
  </si>
  <si>
    <t>Grossman</t>
  </si>
  <si>
    <t>colleengrossman8@gmail.com</t>
  </si>
  <si>
    <t>Carls</t>
  </si>
  <si>
    <t>detail</t>
  </si>
  <si>
    <t>Brett &amp; Denise</t>
  </si>
  <si>
    <t>Moritz</t>
  </si>
  <si>
    <t>moritzdj@comcast.net</t>
  </si>
  <si>
    <t>613 Cameron Ridge Ct Parkton MD 21120 United States</t>
  </si>
  <si>
    <t>Suzie</t>
  </si>
  <si>
    <t>Coronel</t>
  </si>
  <si>
    <t>suzie@crabbyhomes.com</t>
  </si>
  <si>
    <t>Damion Dawn</t>
  </si>
  <si>
    <t>Roberts Mark</t>
  </si>
  <si>
    <t>(410) 357-5236</t>
  </si>
  <si>
    <t>20227 Old York Rd Whitehall MD 21161 United States</t>
  </si>
  <si>
    <t>Amy  Chris</t>
  </si>
  <si>
    <t>Stephanie</t>
  </si>
  <si>
    <t>Bell</t>
  </si>
  <si>
    <t>(703) 625-6423</t>
  </si>
  <si>
    <t>Randy</t>
  </si>
  <si>
    <t>bodyshop</t>
  </si>
  <si>
    <t>Rodriguez</t>
  </si>
  <si>
    <t>(410) 952-0501</t>
  </si>
  <si>
    <t>(410) 877-7182</t>
  </si>
  <si>
    <t>lindalrod@hotmail.com</t>
  </si>
  <si>
    <t>(410) 491-0678</t>
  </si>
  <si>
    <t>Jarrettsville</t>
  </si>
  <si>
    <t>vet.</t>
  </si>
  <si>
    <t>Painting Unlimit</t>
  </si>
  <si>
    <t>Paintingunlimitedinc@aol.com</t>
  </si>
  <si>
    <t>H&amp;S Finance</t>
  </si>
  <si>
    <t>(410) 665-4600</t>
  </si>
  <si>
    <t>Ms.</t>
  </si>
  <si>
    <t>(410) 916-8180</t>
  </si>
  <si>
    <t>Barrows</t>
  </si>
  <si>
    <t>(410) 404-0914</t>
  </si>
  <si>
    <t>Kele</t>
  </si>
  <si>
    <t>streeter</t>
  </si>
  <si>
    <t>HVAC</t>
  </si>
  <si>
    <t>Reilley</t>
  </si>
  <si>
    <t>Susquehanna Bank</t>
  </si>
  <si>
    <t>(410) 868-6033</t>
  </si>
  <si>
    <t>(410) 825-7763</t>
  </si>
  <si>
    <t>900 Kenilworth Drive Towson MD 21204 United States</t>
  </si>
  <si>
    <t>Cullen</t>
  </si>
  <si>
    <t>Clean Sweep</t>
  </si>
  <si>
    <t>Dixon</t>
  </si>
  <si>
    <t>Interior Designer</t>
  </si>
  <si>
    <t>Moran Doors</t>
  </si>
  <si>
    <t>(443) 286-0700</t>
  </si>
  <si>
    <t>(410) 522-0100</t>
  </si>
  <si>
    <t>jmmiller@morandiirs.com</t>
  </si>
  <si>
    <t>Lance</t>
  </si>
  <si>
    <t>(443) 846-8282</t>
  </si>
  <si>
    <t>stevenawrocki@comcast.net</t>
  </si>
  <si>
    <t>Goal</t>
  </si>
  <si>
    <t>Ranck</t>
  </si>
  <si>
    <t>Steve â€œToddâ€</t>
  </si>
  <si>
    <t>smith</t>
  </si>
  <si>
    <t>Ssmith@a1treelawncare.com</t>
  </si>
  <si>
    <t>Wiles</t>
  </si>
  <si>
    <t>(443) 824-2121</t>
  </si>
  <si>
    <t>Reisterstown Lumber</t>
  </si>
  <si>
    <t>skeeney@reisterstownlumber.com</t>
  </si>
  <si>
    <t>13040 Old Hanover Road Reisterstiwn MD 21136 United States</t>
  </si>
  <si>
    <t>Geri</t>
  </si>
  <si>
    <t>(410) 337-9090</t>
  </si>
  <si>
    <t>1750 code</t>
  </si>
  <si>
    <t>Baltimore Granite Direct</t>
  </si>
  <si>
    <t>(410) 252-3620</t>
  </si>
  <si>
    <t>Jbaker1113@yahoo.com</t>
  </si>
  <si>
    <t>2197 Greenspring Drive Timonium MD 21093 United States</t>
  </si>
  <si>
    <t>Lilly</t>
  </si>
  <si>
    <t>(617) 513-8555</t>
  </si>
  <si>
    <t>Lew</t>
  </si>
  <si>
    <t>Jen B</t>
  </si>
  <si>
    <t>(410) 608-9449</t>
  </si>
  <si>
    <t>Villanuvea</t>
  </si>
  <si>
    <t>+1 (443) 850-0776</t>
  </si>
  <si>
    <t>Bmw</t>
  </si>
  <si>
    <t>Of Towson</t>
  </si>
  <si>
    <t>Laurance</t>
  </si>
  <si>
    <t>(443) 519-3085</t>
  </si>
  <si>
    <t>Toth</t>
  </si>
  <si>
    <t>Noah Senior</t>
  </si>
  <si>
    <t>Bills Auto Interior Repair</t>
  </si>
  <si>
    <t>Primary Mortgage Lending</t>
  </si>
  <si>
    <t>sawalker@primeres.com</t>
  </si>
  <si>
    <t>Vicky</t>
  </si>
  <si>
    <t>Oniel</t>
  </si>
  <si>
    <t>(443) 564-2960</t>
  </si>
  <si>
    <t>Christina</t>
  </si>
  <si>
    <t>Doty</t>
  </si>
  <si>
    <t>(410) 516-4732</t>
  </si>
  <si>
    <t>1 S Ellwood Ave Baltimore MD 21224 United States</t>
  </si>
  <si>
    <t>(443) 326-1302</t>
  </si>
  <si>
    <t>Gloria</t>
  </si>
  <si>
    <t>Velasquez</t>
  </si>
  <si>
    <t>(201) 220-9997</t>
  </si>
  <si>
    <t>7323 Greenbank Road Middleriver MD 21220 United States</t>
  </si>
  <si>
    <t>(443) 732-0286</t>
  </si>
  <si>
    <t>Stoney River Legendary Steaks</t>
  </si>
  <si>
    <t>Gabriel</t>
  </si>
  <si>
    <t>Elite Siding Gutters Roofing</t>
  </si>
  <si>
    <t>721 Stemmers Run Rd Essex MD 21221 United States</t>
  </si>
  <si>
    <t>(410) 830-9048</t>
  </si>
  <si>
    <t>(410) 771-8237</t>
  </si>
  <si>
    <t>Certifit</t>
  </si>
  <si>
    <t>Lazro</t>
  </si>
  <si>
    <t>Friedman</t>
  </si>
  <si>
    <t>DEWAN</t>
  </si>
  <si>
    <t>Senior Electrical Engineer CDIY</t>
  </si>
  <si>
    <t>brian.friedman@dewalt.com</t>
  </si>
  <si>
    <t>701 East Joppa Road Towson  Maryland 21286 USA</t>
  </si>
  <si>
    <t>Jill</t>
  </si>
  <si>
    <t>Douglas</t>
  </si>
  <si>
    <t>Blunt</t>
  </si>
  <si>
    <t>(410) 663-6869</t>
  </si>
  <si>
    <t>8133 Glen Arbor Drive Whitemarsh MD 21237 United States</t>
  </si>
  <si>
    <t>Digla</t>
  </si>
  <si>
    <t>(410) 207-8613</t>
  </si>
  <si>
    <t>ddigla@gmail.com</t>
  </si>
  <si>
    <t>Alloy</t>
  </si>
  <si>
    <t>wheel repair</t>
  </si>
  <si>
    <t>Shagena</t>
  </si>
  <si>
    <t>Destiny Mortgage</t>
  </si>
  <si>
    <t>(443) 765-2303</t>
  </si>
  <si>
    <t>(410) 584-2274</t>
  </si>
  <si>
    <t>jshagena@destinygrp.net</t>
  </si>
  <si>
    <t>606 Bosley Ave  Suite 1e Towson MD 21204 United States</t>
  </si>
  <si>
    <t xml:space="preserve">Trey &amp; Amy </t>
  </si>
  <si>
    <t>Orta</t>
  </si>
  <si>
    <t>treyorta@gmail.com</t>
  </si>
  <si>
    <t>16729 Miller Ln Parkton  MD 21120 United States</t>
  </si>
  <si>
    <t>Larry &amp; Lee</t>
  </si>
  <si>
    <t>Barrow</t>
  </si>
  <si>
    <t>(410) 668-5717</t>
  </si>
  <si>
    <t>Alarm. 4699</t>
  </si>
  <si>
    <t>Tanneytown Deli</t>
  </si>
  <si>
    <t>11711 Hillside Drive Kingsville MD  United States</t>
  </si>
  <si>
    <t>Mary Jane &amp; George</t>
  </si>
  <si>
    <t>Franklin</t>
  </si>
  <si>
    <t>(410) 241-9102</t>
  </si>
  <si>
    <t>frank14211@aol.com</t>
  </si>
  <si>
    <t>14211 Sawmill Court Phoenix MD 21131 United States</t>
  </si>
  <si>
    <t>Klaus</t>
  </si>
  <si>
    <t>Milts  buddy</t>
  </si>
  <si>
    <t>(410) 215-9562</t>
  </si>
  <si>
    <t>Nonemaker</t>
  </si>
  <si>
    <t>(717) 891-0123</t>
  </si>
  <si>
    <t>Wayne</t>
  </si>
  <si>
    <t>gear</t>
  </si>
  <si>
    <t>Sillites</t>
  </si>
  <si>
    <t>(410) 472-4818</t>
  </si>
  <si>
    <t>3213 Vance Rd Monkton MD 21111 United States</t>
  </si>
  <si>
    <t>Kathi</t>
  </si>
  <si>
    <t>Dachille</t>
  </si>
  <si>
    <t>(443) 386-1804</t>
  </si>
  <si>
    <t>car</t>
  </si>
  <si>
    <t>Bel Air Auto Auction</t>
  </si>
  <si>
    <t>(410) 879-7950</t>
  </si>
  <si>
    <t>Hardwood Flooring</t>
  </si>
  <si>
    <t>(410) 960-6608</t>
  </si>
  <si>
    <t>(410) 357-9568</t>
  </si>
  <si>
    <t>Carl</t>
  </si>
  <si>
    <t>Lowe</t>
  </si>
  <si>
    <t>(443) 847-8704</t>
  </si>
  <si>
    <t>(410) 870-2618</t>
  </si>
  <si>
    <t>(410) 917-9203</t>
  </si>
  <si>
    <t>(410) 357-4992</t>
  </si>
  <si>
    <t>Marylin</t>
  </si>
  <si>
    <t>RPS Carpet</t>
  </si>
  <si>
    <t>robsmith@rpswholesaleflooring.com</t>
  </si>
  <si>
    <t>Maggie</t>
  </si>
  <si>
    <t>(717) 495-2386</t>
  </si>
  <si>
    <t>Rolland</t>
  </si>
  <si>
    <t>(443) 935-8118</t>
  </si>
  <si>
    <t>Galvin</t>
  </si>
  <si>
    <t>Fireplace Solutions</t>
  </si>
  <si>
    <t>(443) 996-9926</t>
  </si>
  <si>
    <t>Leann</t>
  </si>
  <si>
    <t>Schank</t>
  </si>
  <si>
    <t>Darrel</t>
  </si>
  <si>
    <t>Gnau</t>
  </si>
  <si>
    <t>Dad</t>
  </si>
  <si>
    <t>(410) 241-7228</t>
  </si>
  <si>
    <t>Hunter</t>
  </si>
  <si>
    <t>Humpty Dumpster</t>
  </si>
  <si>
    <t>Sabrina</t>
  </si>
  <si>
    <t>(410) 879-5589</t>
  </si>
  <si>
    <t>Fuqua</t>
  </si>
  <si>
    <t>Anderson Automotive</t>
  </si>
  <si>
    <t>(443) 910-1442</t>
  </si>
  <si>
    <t>Scott heatheringtons friend</t>
  </si>
  <si>
    <t>Maylor</t>
  </si>
  <si>
    <t>Christophine, Sebo, Mark</t>
  </si>
  <si>
    <t>Syreika</t>
  </si>
  <si>
    <t>Store Manager APPLIANCE &amp; KITCHEN SPECIALISTS</t>
  </si>
  <si>
    <t>bsyreika@brayandscarff.com</t>
  </si>
  <si>
    <t>ead Â· Cockeysville  Maryland 21030 USA</t>
  </si>
  <si>
    <t>Sandy Love</t>
  </si>
  <si>
    <t>Benett</t>
  </si>
  <si>
    <t>Mom-home</t>
  </si>
  <si>
    <t>Len &amp; Sue</t>
  </si>
  <si>
    <t>sue.dougherty@gmail.com</t>
  </si>
  <si>
    <t>Freddy</t>
  </si>
  <si>
    <t>Odonnel</t>
  </si>
  <si>
    <t>(410) 366-1337</t>
  </si>
  <si>
    <t>Dahill</t>
  </si>
  <si>
    <t>+1 (410) 446-6799</t>
  </si>
  <si>
    <t>(410) 592-8802</t>
  </si>
  <si>
    <t>4004 Holly Knoll Drive Glen Arm MD 21057 United States</t>
  </si>
  <si>
    <t>Jeffery</t>
  </si>
  <si>
    <t>Yablon</t>
  </si>
  <si>
    <t>(443) 690-7800</t>
  </si>
  <si>
    <t>Lagator</t>
  </si>
  <si>
    <t>Creative Confectioners</t>
  </si>
  <si>
    <t>(443) 901-1794</t>
  </si>
  <si>
    <t>lagator@lenhoff.org</t>
  </si>
  <si>
    <t>11 Gray Squirrel Court Timonium MD 21093 United States</t>
  </si>
  <si>
    <t xml:space="preserve">MSI </t>
  </si>
  <si>
    <t>(410) 799-9631</t>
  </si>
  <si>
    <t>7595 Montevideo Rd Suite 200 Jessup MD 20794-9323 United States</t>
  </si>
  <si>
    <t>James</t>
  </si>
  <si>
    <t>Eustace</t>
  </si>
  <si>
    <t>Morgan Stanley Smithbarney</t>
  </si>
  <si>
    <t>Lino</t>
  </si>
  <si>
    <t>Framer</t>
  </si>
  <si>
    <t>(301) 252-7619</t>
  </si>
  <si>
    <t>Mays</t>
  </si>
  <si>
    <t>(410) 733-7283</t>
  </si>
  <si>
    <t>hyman</t>
  </si>
  <si>
    <t>(410) 666-1947</t>
  </si>
  <si>
    <t>Heatherington</t>
  </si>
  <si>
    <t>Kincaid</t>
  </si>
  <si>
    <t>(410) 598-4280</t>
  </si>
  <si>
    <t>Sarah &amp; Greg</t>
  </si>
  <si>
    <t>(410) 357-5076</t>
  </si>
  <si>
    <t>sgmartin_laptop@comcast.net</t>
  </si>
  <si>
    <t>107 Kirsten Court Parkton MD 21120-9071 United States of America</t>
  </si>
  <si>
    <t>Josh Nationwide</t>
  </si>
  <si>
    <t>Nationwide Insurance</t>
  </si>
  <si>
    <t>nagyj1@nationwide.com</t>
  </si>
  <si>
    <t>Emerald Gardens</t>
  </si>
  <si>
    <t>(717) 227-2288</t>
  </si>
  <si>
    <t>Vince</t>
  </si>
  <si>
    <t>Baldwin</t>
  </si>
  <si>
    <t>(859) 626-9482</t>
  </si>
  <si>
    <t>Francis</t>
  </si>
  <si>
    <t>kiesler</t>
  </si>
  <si>
    <t>Rowe</t>
  </si>
  <si>
    <t>(410) 207-2581</t>
  </si>
  <si>
    <t>Suk</t>
  </si>
  <si>
    <t>Siding</t>
  </si>
  <si>
    <t>sigi70@hotmail.com</t>
  </si>
  <si>
    <t>8 Trumpet Ct Baltimore MD 21236-1663 United States</t>
  </si>
  <si>
    <t>Kara</t>
  </si>
  <si>
    <t>Cooke</t>
  </si>
  <si>
    <t>Deereco Hair Design</t>
  </si>
  <si>
    <t>Bolgiano</t>
  </si>
  <si>
    <t>Tutor</t>
  </si>
  <si>
    <t>(410) 790-7376</t>
  </si>
  <si>
    <t>Timonium</t>
  </si>
  <si>
    <t>Grace Maxine</t>
  </si>
  <si>
    <t>Dritt</t>
  </si>
  <si>
    <t>(410) 661-0178</t>
  </si>
  <si>
    <t>8200 1/2 Bon Air Rd Parkville MD 21234 United States</t>
  </si>
  <si>
    <t>Heritage Hyundai</t>
  </si>
  <si>
    <t>(877) 396-6189</t>
  </si>
  <si>
    <t>puig</t>
  </si>
  <si>
    <t>Violanti</t>
  </si>
  <si>
    <t>cpviolanti@gmail.com</t>
  </si>
  <si>
    <t>2220 White Hall Rd White Hall MD 21161 United States</t>
  </si>
  <si>
    <t>BW Auto Auction</t>
  </si>
  <si>
    <t>(410) 796-8899</t>
  </si>
  <si>
    <t>Barbara</t>
  </si>
  <si>
    <t>Bruinstien</t>
  </si>
  <si>
    <t>(410) 404-7579</t>
  </si>
  <si>
    <t xml:space="preserve">Mike </t>
  </si>
  <si>
    <t>Hammel</t>
  </si>
  <si>
    <t>MJH Signature Design Group LLC</t>
  </si>
  <si>
    <t>(410) 591-8024</t>
  </si>
  <si>
    <t>michaelhammel@comcast.net</t>
  </si>
  <si>
    <t>Klima</t>
  </si>
  <si>
    <t>2009 2010 taurua</t>
  </si>
  <si>
    <t xml:space="preserve">Earl </t>
  </si>
  <si>
    <t>Dean</t>
  </si>
  <si>
    <t>Baker</t>
  </si>
  <si>
    <t>Crazy Rays Parts Puller</t>
  </si>
  <si>
    <t>mamatvending@gmail.con</t>
  </si>
  <si>
    <t>Michael &amp; Becky</t>
  </si>
  <si>
    <t>Hoffman</t>
  </si>
  <si>
    <t>(410) 493-9431</t>
  </si>
  <si>
    <t>32 Silversage Ct Cockeysville MD 21030 United States</t>
  </si>
  <si>
    <t>dee</t>
  </si>
  <si>
    <t>Catherine</t>
  </si>
  <si>
    <t>catherinemalstrom@gmail.com</t>
  </si>
  <si>
    <t>Puopolo</t>
  </si>
  <si>
    <t>Combs</t>
  </si>
  <si>
    <t>SPRINKLER DESIGN</t>
  </si>
  <si>
    <t>President</t>
  </si>
  <si>
    <t>mark.csd@verizon.net</t>
  </si>
  <si>
    <t>Home Depot</t>
  </si>
  <si>
    <t>(410) 667-8200</t>
  </si>
  <si>
    <t>Daw</t>
  </si>
  <si>
    <t>(410) 842-5859</t>
  </si>
  <si>
    <t>Hook</t>
  </si>
  <si>
    <t>Indusco</t>
  </si>
  <si>
    <t>Benckini</t>
  </si>
  <si>
    <t>tbenckini@comcast.net</t>
  </si>
  <si>
    <t>Steven</t>
  </si>
  <si>
    <t>Hayes</t>
  </si>
  <si>
    <t>stevehayes1700@grnail.com</t>
  </si>
  <si>
    <t>MASTER PAINTER    United States</t>
  </si>
  <si>
    <t>Ronald &amp; Norma</t>
  </si>
  <si>
    <t>Schneider &amp; Brunner</t>
  </si>
  <si>
    <t>26 Silversage Ct Cockeysville MD 21030 United States</t>
  </si>
  <si>
    <t>Jake</t>
  </si>
  <si>
    <t>guatney Peggy</t>
  </si>
  <si>
    <t>Mile &amp; Jodi</t>
  </si>
  <si>
    <t>(410) 409-1494</t>
  </si>
  <si>
    <t>ðŸ’–GrandmaðŸ’–</t>
  </si>
  <si>
    <t>(443) 413-0103</t>
  </si>
  <si>
    <t>(410) 665-1025</t>
  </si>
  <si>
    <t>(4106651025) is Grandma and Grandad's home phone</t>
  </si>
  <si>
    <t>Frank &amp; Drue</t>
  </si>
  <si>
    <t>Hodgetts</t>
  </si>
  <si>
    <t>hodgetts-5@verizon.net</t>
  </si>
  <si>
    <t>2202 Forest Ridge Rd Timonium MD 21093 United States</t>
  </si>
  <si>
    <t>GYN</t>
  </si>
  <si>
    <t>(410) 832-5511</t>
  </si>
  <si>
    <t>Marco</t>
  </si>
  <si>
    <t>Dry Wall Finish</t>
  </si>
  <si>
    <t>Thompson</t>
  </si>
  <si>
    <t>+1 (410) 591-9906</t>
  </si>
  <si>
    <t>1119 S Clinton St Baltimore MD 21224 United States</t>
  </si>
  <si>
    <t>William Bullard II</t>
  </si>
  <si>
    <t>Diana L Dempsey-Bullard</t>
  </si>
  <si>
    <t>12 Andrews Ct Parkton MD 21120 United States</t>
  </si>
  <si>
    <t>Oscar</t>
  </si>
  <si>
    <t>Ramirez</t>
  </si>
  <si>
    <t>Drywall</t>
  </si>
  <si>
    <t>(410) 961-8293</t>
  </si>
  <si>
    <t>Diesel</t>
  </si>
  <si>
    <t>(443) 854-5340</t>
  </si>
  <si>
    <t>caine</t>
  </si>
  <si>
    <t>Terry</t>
  </si>
  <si>
    <t>Sopher</t>
  </si>
  <si>
    <t>(410) 343-0907</t>
  </si>
  <si>
    <t>Curt</t>
  </si>
  <si>
    <t>Andrews</t>
  </si>
  <si>
    <t>(302) 436-4145</t>
  </si>
  <si>
    <t>rlionp@verizon.com</t>
  </si>
  <si>
    <t>318 N Main St Berlin MD 21811 United States</t>
  </si>
  <si>
    <t>Dominic</t>
  </si>
  <si>
    <t>Desantis</t>
  </si>
  <si>
    <t>(410) 598-0560</t>
  </si>
  <si>
    <t>(443) 415-4451</t>
  </si>
  <si>
    <t>Sonn</t>
  </si>
  <si>
    <t>Creative Finishes LTD</t>
  </si>
  <si>
    <t>white</t>
  </si>
  <si>
    <t>Gage</t>
  </si>
  <si>
    <t>Jonathan Blanar</t>
  </si>
  <si>
    <t>Dillsworth</t>
  </si>
  <si>
    <t>Excavating</t>
  </si>
  <si>
    <t>(443) 677-4436</t>
  </si>
  <si>
    <t>Robert &amp; Luanne</t>
  </si>
  <si>
    <t>Malamdra</t>
  </si>
  <si>
    <t>luannemalandra@hotmail.com</t>
  </si>
  <si>
    <t>803 Zenith Drive Freeland MD 21053 United States</t>
  </si>
  <si>
    <t>Built in 2007 Ryland home. 2940 sq ft 1.19 acres. Bentley Ridge Estate</t>
  </si>
  <si>
    <t>Kieth</t>
  </si>
  <si>
    <t>heritage</t>
  </si>
  <si>
    <t>Wes</t>
  </si>
  <si>
    <t>(443) 876-5034</t>
  </si>
  <si>
    <t>Kathleen</t>
  </si>
  <si>
    <t>Warren</t>
  </si>
  <si>
    <t>Ktgwarren@aol.com</t>
  </si>
  <si>
    <t>Sue &amp; chuck</t>
  </si>
  <si>
    <t>Kump</t>
  </si>
  <si>
    <t>Sue@ifico.com</t>
  </si>
  <si>
    <t>9306 Ramblebrook Road Nottingham MD 21236 United States</t>
  </si>
  <si>
    <t>Milton Inn</t>
  </si>
  <si>
    <t>(410) 771-4366</t>
  </si>
  <si>
    <t>Krakowitz</t>
  </si>
  <si>
    <t>15 Wellspring Owingsmills MD 21117 United States</t>
  </si>
  <si>
    <t>Hayden</t>
  </si>
  <si>
    <t>Brenda</t>
  </si>
  <si>
    <t>410-833-7666;117</t>
  </si>
  <si>
    <t>Brenda@rarisk.com</t>
  </si>
  <si>
    <t>foster</t>
  </si>
  <si>
    <t>Imrie</t>
  </si>
  <si>
    <t>(571) 217-7622</t>
  </si>
  <si>
    <t>Walsh</t>
  </si>
  <si>
    <t>Avalanch   Ref.  From jim rube</t>
  </si>
  <si>
    <t>Stephen</t>
  </si>
  <si>
    <t>Parkhurst</t>
  </si>
  <si>
    <t>First National Bank</t>
  </si>
  <si>
    <t>ParkhurstS@fnb-corp.com</t>
  </si>
  <si>
    <t>Tricia</t>
  </si>
  <si>
    <t>Purdy</t>
  </si>
  <si>
    <t>(202) 383-6406</t>
  </si>
  <si>
    <t>Sherry</t>
  </si>
  <si>
    <t>robert Ossakow</t>
  </si>
  <si>
    <t>(410) 900-0712</t>
  </si>
  <si>
    <t>Mccusker</t>
  </si>
  <si>
    <t>(410) 409-5407</t>
  </si>
  <si>
    <t>(301) 922-0394</t>
  </si>
  <si>
    <t>Sandy</t>
  </si>
  <si>
    <t>Foyer Table</t>
  </si>
  <si>
    <t>Barry</t>
  </si>
  <si>
    <t>Diggins</t>
  </si>
  <si>
    <t>(443) 904-0803</t>
  </si>
  <si>
    <t>Captain</t>
  </si>
  <si>
    <t>bob</t>
  </si>
  <si>
    <t>Cole</t>
  </si>
  <si>
    <t>(443) 462-3750</t>
  </si>
  <si>
    <t>Farm House For Rent</t>
  </si>
  <si>
    <t>Renee Hammond</t>
  </si>
  <si>
    <t>nason</t>
  </si>
  <si>
    <t>Mark &amp; Terisa</t>
  </si>
  <si>
    <t>Menusan</t>
  </si>
  <si>
    <t>+1 (443) 536-9229</t>
  </si>
  <si>
    <t>Tideland Caribbean Hotel</t>
  </si>
  <si>
    <t>(410) 289-9455</t>
  </si>
  <si>
    <t>Jimmy</t>
  </si>
  <si>
    <t>Hibsman</t>
  </si>
  <si>
    <t>Hibsman Auto Ttansport</t>
  </si>
  <si>
    <t>(215) 767-9921</t>
  </si>
  <si>
    <t>Tyler</t>
  </si>
  <si>
    <t>Second Chance</t>
  </si>
  <si>
    <t>+1 (410) 385-1101</t>
  </si>
  <si>
    <t>1700 Ridgley Street Baltimore MD 21230 United States</t>
  </si>
  <si>
    <t>Honda</t>
  </si>
  <si>
    <t>Chessler</t>
  </si>
  <si>
    <t>Marketing</t>
  </si>
  <si>
    <t>Payne</t>
  </si>
  <si>
    <t>F150  Chevy  Titan  Ex cab 4+4</t>
  </si>
  <si>
    <t>Sonya</t>
  </si>
  <si>
    <t>(410) 356-5681</t>
  </si>
  <si>
    <t>24 Church Rd Owingsmills MD  United States</t>
  </si>
  <si>
    <t>Christine</t>
  </si>
  <si>
    <t>(410) 707-1438</t>
  </si>
  <si>
    <t>Wiser Automotive</t>
  </si>
  <si>
    <t>2011 Greenspring Drive Lutherville MD 21093 United States</t>
  </si>
  <si>
    <t>Dondre</t>
  </si>
  <si>
    <t>Tenant Renter</t>
  </si>
  <si>
    <t>+1 (443) 608-4178</t>
  </si>
  <si>
    <t>+1 (443) 857-4372</t>
  </si>
  <si>
    <t>dunn</t>
  </si>
  <si>
    <t>84 Lumber</t>
  </si>
  <si>
    <t>(443) 375-7086</t>
  </si>
  <si>
    <t>Meredith</t>
  </si>
  <si>
    <t>(941) 302-0656</t>
  </si>
  <si>
    <t>jmeredith@design-aesthetics.com</t>
  </si>
  <si>
    <t>Ian</t>
  </si>
  <si>
    <t>(410) 967-4456</t>
  </si>
  <si>
    <t>Saturn 1 or 2 under 80 k. 3 to 4 k. Black or silver auto</t>
  </si>
  <si>
    <t>Chrisropher</t>
  </si>
  <si>
    <t>Window Cleaner</t>
  </si>
  <si>
    <t>All</t>
  </si>
  <si>
    <t>Ways Carpet</t>
  </si>
  <si>
    <t>Adam &amp; Lara</t>
  </si>
  <si>
    <t>Kent</t>
  </si>
  <si>
    <t>5706 Second Ave Halethorpe MD 21227 United States</t>
  </si>
  <si>
    <t>Yvette</t>
  </si>
  <si>
    <t>(410) 903-2519</t>
  </si>
  <si>
    <t>(410) 962-4424</t>
  </si>
  <si>
    <t>yeoliver@aol.com</t>
  </si>
  <si>
    <t>1600 Thretford Road Baltimore MD 21286 United States</t>
  </si>
  <si>
    <t>Tereesa</t>
  </si>
  <si>
    <t>Angel</t>
  </si>
  <si>
    <t>(410) 458-7783</t>
  </si>
  <si>
    <t>Turner</t>
  </si>
  <si>
    <t>Edwards Machine Shop</t>
  </si>
  <si>
    <t>(410) 252-7436</t>
  </si>
  <si>
    <t>2193 Greenspring Drive Timonium MD 21093 United States</t>
  </si>
  <si>
    <t>Melissa/mike</t>
  </si>
  <si>
    <t>Shwartz</t>
  </si>
  <si>
    <t>(410) 808-8311</t>
  </si>
  <si>
    <t>Lindsy</t>
  </si>
  <si>
    <t>Bennet</t>
  </si>
  <si>
    <t>Long And Foster</t>
  </si>
  <si>
    <t>(410) 935-2009</t>
  </si>
  <si>
    <t>Babs</t>
  </si>
  <si>
    <t>(410) 340-3485</t>
  </si>
  <si>
    <t>Scott &amp; Judy</t>
  </si>
  <si>
    <t>Hertherington</t>
  </si>
  <si>
    <t>scott@ifico.com</t>
  </si>
  <si>
    <t>11515 Hunters Run Dr Cockeysville MD 21030 United States</t>
  </si>
  <si>
    <t>Judy b day 12/27/67  0205 door code</t>
  </si>
  <si>
    <t>Plumber</t>
  </si>
  <si>
    <t>Paving</t>
  </si>
  <si>
    <t>Copeland</t>
  </si>
  <si>
    <t>14100 Robcaste Rd Phoenix MD 21131-1470 United States</t>
  </si>
  <si>
    <t>(240) 472-0233</t>
  </si>
  <si>
    <t>Noto</t>
  </si>
  <si>
    <t>joe_noto@coface-usa.com</t>
  </si>
  <si>
    <t>Lyon</t>
  </si>
  <si>
    <t>sarah@divinedw.com</t>
  </si>
  <si>
    <t>(410) 703-7183</t>
  </si>
  <si>
    <t>Pharmacy</t>
  </si>
  <si>
    <t>Chris &amp; Jen</t>
  </si>
  <si>
    <t>(410) 627-7929</t>
  </si>
  <si>
    <t>chrisjrod@gmail.com</t>
  </si>
  <si>
    <t>1513 W. Joppa Road Towson MD 21204 United States</t>
  </si>
  <si>
    <t>stephan</t>
  </si>
  <si>
    <t>koch</t>
  </si>
  <si>
    <t>Yiassemides</t>
  </si>
  <si>
    <t>maryyias@yahoo.com</t>
  </si>
  <si>
    <t>1546  Jordan Sawmill Road Parkton MD 21120 United States</t>
  </si>
  <si>
    <t>Larisa</t>
  </si>
  <si>
    <t>Roger</t>
  </si>
  <si>
    <t>Tom &amp; Betty</t>
  </si>
  <si>
    <t>9708 Oakdale Ave Baltimore MD 21120 United States</t>
  </si>
  <si>
    <t>Riordan cell</t>
  </si>
  <si>
    <t>Stones</t>
  </si>
  <si>
    <t>Sealing</t>
  </si>
  <si>
    <t>(410) 459-3800</t>
  </si>
  <si>
    <t>Schubert</t>
  </si>
  <si>
    <t>(410) 292-2081</t>
  </si>
  <si>
    <t>(410) 420-7860</t>
  </si>
  <si>
    <t>holbine</t>
  </si>
  <si>
    <t>Lumber Liquidators</t>
  </si>
  <si>
    <t>(443) 846-0430</t>
  </si>
  <si>
    <t>Stacey</t>
  </si>
  <si>
    <t>(443) 506-7198</t>
  </si>
  <si>
    <t>Red Bull Transport</t>
  </si>
  <si>
    <t>1 (678) 858-6750</t>
  </si>
  <si>
    <t>Rosolowski</t>
  </si>
  <si>
    <t>(443) 682-3753</t>
  </si>
  <si>
    <t>Bonnie</t>
  </si>
  <si>
    <t>(410) 746-2165</t>
  </si>
  <si>
    <t>(410) 357-8863</t>
  </si>
  <si>
    <t>(973) 610-3639</t>
  </si>
  <si>
    <t>Vegas conferance</t>
  </si>
  <si>
    <t>Alex &amp; Will</t>
  </si>
  <si>
    <t>Mugge-Smith</t>
  </si>
  <si>
    <t>amugge@gmail.com</t>
  </si>
  <si>
    <t>2209 Skylark Dr Westminster MD 21157 United States</t>
  </si>
  <si>
    <t>Marcie</t>
  </si>
  <si>
    <t>Mel</t>
  </si>
  <si>
    <t>Maryland Concrete Forms</t>
  </si>
  <si>
    <t>(410) 977-4924</t>
  </si>
  <si>
    <t>melbmcf@verizon.net</t>
  </si>
  <si>
    <t>verdo</t>
  </si>
  <si>
    <t>Record753.   Copart Acc#544576 Verdo card #5329037361033330 master 6/12p</t>
  </si>
  <si>
    <t>Keogh</t>
  </si>
  <si>
    <t>Rolman</t>
  </si>
  <si>
    <t>Raghael</t>
  </si>
  <si>
    <t>(443) 509-7674</t>
  </si>
  <si>
    <t>Spencer</t>
  </si>
  <si>
    <t>Adcock Brothers</t>
  </si>
  <si>
    <t>(717) 664-3600</t>
  </si>
  <si>
    <t>Mario</t>
  </si>
  <si>
    <t>Bob's Friend</t>
  </si>
  <si>
    <t>Bosley</t>
  </si>
  <si>
    <t>Topper</t>
  </si>
  <si>
    <t>(410) 913-7021</t>
  </si>
  <si>
    <t>Darryl &amp; Jenn</t>
  </si>
  <si>
    <t>(410) 903-4472</t>
  </si>
  <si>
    <t>40 Still Pond Dr New Freedom PA 17349 United States</t>
  </si>
  <si>
    <t xml:space="preserve">Built in 1985, 2.05 acres, 4 bedroom,3baths,2,912sqft. </t>
  </si>
  <si>
    <t>Ray</t>
  </si>
  <si>
    <t>Mcgirk</t>
  </si>
  <si>
    <t>(410) 419-3117</t>
  </si>
  <si>
    <t>Long &amp;Foster (Ellwood)</t>
  </si>
  <si>
    <t>Horne</t>
  </si>
  <si>
    <t>Kathy Lee</t>
  </si>
  <si>
    <t>Nanny that i meet at the pool  John and grant  6 yrs old  Birth date end of march</t>
  </si>
  <si>
    <t>Jenny</t>
  </si>
  <si>
    <t>Garifalos</t>
  </si>
  <si>
    <t>+1 (443) 632-5448</t>
  </si>
  <si>
    <t>Seema</t>
  </si>
  <si>
    <t>(202) 821-2503</t>
  </si>
  <si>
    <t>krauss</t>
  </si>
  <si>
    <t>Sieman</t>
  </si>
  <si>
    <t>(410) 207-9553</t>
  </si>
  <si>
    <t>Keitly Ehrhart</t>
  </si>
  <si>
    <t>Keitly.Ehrhart@Manheim.com</t>
  </si>
  <si>
    <t>Walter</t>
  </si>
  <si>
    <t>Potomac Fire Sprinlaler Services Residential Installation and Inspections</t>
  </si>
  <si>
    <t>gary@potomacfiresprinklers.com</t>
  </si>
  <si>
    <t>5588 Rivendell Pl Frederick. Md   21703 United States</t>
  </si>
  <si>
    <t>Matastasio</t>
  </si>
  <si>
    <t>Welder</t>
  </si>
  <si>
    <t>(410) 692-2121</t>
  </si>
  <si>
    <t>4519 Oakridge Dr Street MD 21154 United States</t>
  </si>
  <si>
    <t>Pat</t>
  </si>
  <si>
    <t>Newsom</t>
  </si>
  <si>
    <t>(301) 646-3539</t>
  </si>
  <si>
    <t>plnews@aol.com</t>
  </si>
  <si>
    <t>Blackburn</t>
  </si>
  <si>
    <t>Wheel Company</t>
  </si>
  <si>
    <t>1 (800) 981-8321</t>
  </si>
  <si>
    <t>Early</t>
  </si>
  <si>
    <t>(703) 568-7997</t>
  </si>
  <si>
    <t>Tim &amp; Trisha</t>
  </si>
  <si>
    <t>Dunn</t>
  </si>
  <si>
    <t>Kim's sister</t>
  </si>
  <si>
    <t>Elvis</t>
  </si>
  <si>
    <t>Warranty Repair Guy</t>
  </si>
  <si>
    <t>Jamil</t>
  </si>
  <si>
    <t>Hermes</t>
  </si>
  <si>
    <t>(240) 418-6865</t>
  </si>
  <si>
    <t>Eberly</t>
  </si>
  <si>
    <t>Susan &amp; Glenn</t>
  </si>
  <si>
    <t>Lobas</t>
  </si>
  <si>
    <t>(443) 324-9248</t>
  </si>
  <si>
    <t>susan.Lobas121982@gmail.com</t>
  </si>
  <si>
    <t>21 Cherrywood Ct Cockeysville MD 21030 United States</t>
  </si>
  <si>
    <t>Jerry</t>
  </si>
  <si>
    <t>henderson</t>
  </si>
  <si>
    <t>Christopher "CJ"</t>
  </si>
  <si>
    <t>(202) 431-8778</t>
  </si>
  <si>
    <t>www.cjgreathomes.com</t>
  </si>
  <si>
    <t>Patty</t>
  </si>
  <si>
    <t>Galeski</t>
  </si>
  <si>
    <t>(410) 446-1334</t>
  </si>
  <si>
    <t>Bill russel sister 2 daughters</t>
  </si>
  <si>
    <t>+1 (443) 720-8756</t>
  </si>
  <si>
    <t>Henderson</t>
  </si>
  <si>
    <t>(443) 610-8365</t>
  </si>
  <si>
    <t>Lee ann</t>
  </si>
  <si>
    <t>Santos</t>
  </si>
  <si>
    <t>(410) 262-1453</t>
  </si>
  <si>
    <t>McGuire</t>
  </si>
  <si>
    <t>(443) 807-3167</t>
  </si>
  <si>
    <t>(410) 823-2323</t>
  </si>
  <si>
    <t>wmcguire@cbmove.com</t>
  </si>
  <si>
    <t>7402 York Road Towson MD 21204 United States</t>
  </si>
  <si>
    <t xml:space="preserve">Ben &amp; Hope </t>
  </si>
  <si>
    <t>Metzler</t>
  </si>
  <si>
    <t>Heritige</t>
  </si>
  <si>
    <t>(443) 800-0792</t>
  </si>
  <si>
    <t>3914 Emmart Abe Reisterstown MD 21215 United States</t>
  </si>
  <si>
    <t>Sidney</t>
  </si>
  <si>
    <t>minor</t>
  </si>
  <si>
    <t>(443) 844-0225</t>
  </si>
  <si>
    <t>England</t>
  </si>
  <si>
    <t>englanda@fnb-corp.com</t>
  </si>
  <si>
    <t>Elizabeth</t>
  </si>
  <si>
    <t>MVA</t>
  </si>
  <si>
    <t>(410) 768-7201</t>
  </si>
  <si>
    <t>Jamie &amp; Debbie</t>
  </si>
  <si>
    <t>theeaglebrown@gmail.com</t>
  </si>
  <si>
    <t>13 Trelawny Ct Lutherville MD 21093 United States</t>
  </si>
  <si>
    <t>Meredith J</t>
  </si>
  <si>
    <t>(410) 852-0756</t>
  </si>
  <si>
    <t>mlonberger24@gmail.com</t>
  </si>
  <si>
    <t>3 S Potomac St Baltimore MD 21224 United States</t>
  </si>
  <si>
    <t>5678*</t>
  </si>
  <si>
    <t>Kwikui</t>
  </si>
  <si>
    <t>Trim</t>
  </si>
  <si>
    <t>Doughtery</t>
  </si>
  <si>
    <t>Miguel</t>
  </si>
  <si>
    <t>(443) 695-1692</t>
  </si>
  <si>
    <t>Barb</t>
  </si>
  <si>
    <t>Groomer</t>
  </si>
  <si>
    <t>K9 Cruisers</t>
  </si>
  <si>
    <t>14304 Rob Caste Rd Jacksonville MD 21131 United States</t>
  </si>
  <si>
    <t>Christensen</t>
  </si>
  <si>
    <t>(410) 456-4450</t>
  </si>
  <si>
    <t>laura.christensen@homesbyriley.com</t>
  </si>
  <si>
    <t>2111 Greenspring Dr Lutherville-Timonium Maryland 21093 United States</t>
  </si>
  <si>
    <t>J&amp;J Plumbing</t>
  </si>
  <si>
    <t>Sherrie</t>
  </si>
  <si>
    <t>Ossakow</t>
  </si>
  <si>
    <t>Dorian</t>
  </si>
  <si>
    <t>Knarr</t>
  </si>
  <si>
    <t>+1 (410) 790-9336</t>
  </si>
  <si>
    <t>Gutters Direct</t>
  </si>
  <si>
    <t>1 (800) 661-2836</t>
  </si>
  <si>
    <t>Order #709-44129</t>
  </si>
  <si>
    <t>paff</t>
  </si>
  <si>
    <t>Hildebran</t>
  </si>
  <si>
    <t>114 South Castle St Baltimore MD 21231 United States</t>
  </si>
  <si>
    <t>(443) 491-3598</t>
  </si>
  <si>
    <t>Kalbaugh</t>
  </si>
  <si>
    <t>k_kalbaugh@yahoo.com</t>
  </si>
  <si>
    <t>Hollins Organic</t>
  </si>
  <si>
    <t>+1 (410) 828-0210</t>
  </si>
  <si>
    <t>Robbinson</t>
  </si>
  <si>
    <t>Natural Concerns</t>
  </si>
  <si>
    <t>(410) 925-7446</t>
  </si>
  <si>
    <t>Chrisman</t>
  </si>
  <si>
    <t>Colwell</t>
  </si>
  <si>
    <t>Acc#. 000104220884</t>
  </si>
  <si>
    <t>Kary</t>
  </si>
  <si>
    <t>Snow</t>
  </si>
  <si>
    <t>Chevy gmc truck 01-05</t>
  </si>
  <si>
    <t>+1 (410) 443-3133</t>
  </si>
  <si>
    <t>Lee</t>
  </si>
  <si>
    <t>Cohen</t>
  </si>
  <si>
    <t>(240) 507-6264</t>
  </si>
  <si>
    <t>Hannah</t>
  </si>
  <si>
    <t>Insurance</t>
  </si>
  <si>
    <t>(443) 981-0236</t>
  </si>
  <si>
    <t>Caughey</t>
  </si>
  <si>
    <t>(410) 322-1835</t>
  </si>
  <si>
    <t>2 Sandstone Ct Nottingham MD 21236 United States</t>
  </si>
  <si>
    <t>Empire Auto Parts</t>
  </si>
  <si>
    <t>1 (888) 700-8074</t>
  </si>
  <si>
    <t>www.empireauto.biz</t>
  </si>
  <si>
    <t>Laminate</t>
  </si>
  <si>
    <t>Wurth Wood Group</t>
  </si>
  <si>
    <t>(410) 796-7600</t>
  </si>
  <si>
    <t>6660 Santa Barbara Rd Elkridge MD 21075 United States</t>
  </si>
  <si>
    <t>Cycle Guy</t>
  </si>
  <si>
    <t>(585) 402-4478</t>
  </si>
  <si>
    <t>Alex McNamee</t>
  </si>
  <si>
    <t>Elena Bogatyreva</t>
  </si>
  <si>
    <t>(410) 252-1754</t>
  </si>
  <si>
    <t>1830 Broadway Rd Timonium MD 21093 United States</t>
  </si>
  <si>
    <t>Racheal</t>
  </si>
  <si>
    <t>Grant</t>
  </si>
  <si>
    <t>House Cleaner</t>
  </si>
  <si>
    <t>(443) 986-1759</t>
  </si>
  <si>
    <t>Devere Insulation</t>
  </si>
  <si>
    <t>Mike Rolland</t>
  </si>
  <si>
    <t>mrolland@devereinsulation.com</t>
  </si>
  <si>
    <t>kidd parts</t>
  </si>
  <si>
    <t>Nancy</t>
  </si>
  <si>
    <t>Donny</t>
  </si>
  <si>
    <t>Swattner</t>
  </si>
  <si>
    <t>Brick Layer</t>
  </si>
  <si>
    <t>Warren &amp; Diana</t>
  </si>
  <si>
    <t>Healey</t>
  </si>
  <si>
    <t>Northeast Seamless Gutters</t>
  </si>
  <si>
    <t>(410) 357-8042</t>
  </si>
  <si>
    <t>(410) 357-4200</t>
  </si>
  <si>
    <t>20219 Kirkwood Shop Road White Hall MD 21161 United States</t>
  </si>
  <si>
    <t>Madato</t>
  </si>
  <si>
    <t>(443) 789-1799</t>
  </si>
  <si>
    <t>Played in golf tournament in OC</t>
  </si>
  <si>
    <t>Ricci Depesqualy</t>
  </si>
  <si>
    <t>Gt Pizza</t>
  </si>
  <si>
    <t>(410) 821-9090</t>
  </si>
  <si>
    <t>Rube</t>
  </si>
  <si>
    <t>Lynn</t>
  </si>
  <si>
    <t>Cindy</t>
  </si>
  <si>
    <t>Whitman</t>
  </si>
  <si>
    <t>(410) 627-0073</t>
  </si>
  <si>
    <t>cwittman@netzero.net</t>
  </si>
  <si>
    <t>Hunt Valley Tile &amp; Stone</t>
  </si>
  <si>
    <t>11110 Pepper Rd# D Hunt Valley MD 21031 United States</t>
  </si>
  <si>
    <t>Don, Emily,Temple</t>
  </si>
  <si>
    <t>Kate</t>
  </si>
  <si>
    <t>Wagner</t>
  </si>
  <si>
    <t>(410) 353-5429</t>
  </si>
  <si>
    <t>(443) 318-4092</t>
  </si>
  <si>
    <t>1 Cooperfield Ct    United States</t>
  </si>
  <si>
    <t>Rita</t>
  </si>
  <si>
    <t>Loretta</t>
  </si>
  <si>
    <t>Letke</t>
  </si>
  <si>
    <t>(443) 756-9295</t>
  </si>
  <si>
    <t>Courtland Hearth</t>
  </si>
  <si>
    <t>+1 (410) 335-1988</t>
  </si>
  <si>
    <t>Rusty</t>
  </si>
  <si>
    <t>Latrobe</t>
  </si>
  <si>
    <t>Lomg And Foster</t>
  </si>
  <si>
    <t>(410) 935-4760</t>
  </si>
  <si>
    <t>rlatrobe@lnf.com</t>
  </si>
  <si>
    <t>16800 Old York Road Monkton MD 21111 United States</t>
  </si>
  <si>
    <t>Weiss</t>
  </si>
  <si>
    <t>(708) 478-4847</t>
  </si>
  <si>
    <t>Down</t>
  </si>
  <si>
    <t>(443) 928-3381</t>
  </si>
  <si>
    <t>Bobcat Repair</t>
  </si>
  <si>
    <t>First</t>
  </si>
  <si>
    <t>horizon</t>
  </si>
  <si>
    <t>Colonial Paint Inc</t>
  </si>
  <si>
    <t>Fifer</t>
  </si>
  <si>
    <t>Charlene</t>
  </si>
  <si>
    <t>Marks</t>
  </si>
  <si>
    <t>(410) 310-1701</t>
  </si>
  <si>
    <t>cmarks@goeaston.net</t>
  </si>
  <si>
    <t>Norma</t>
  </si>
  <si>
    <t>Portera</t>
  </si>
  <si>
    <t>(443) 690-7316</t>
  </si>
  <si>
    <t>Phil lisa friend</t>
  </si>
  <si>
    <t>Boswell</t>
  </si>
  <si>
    <t>Karin &amp; Chris</t>
  </si>
  <si>
    <t>Powell</t>
  </si>
  <si>
    <t>Cjp96@hotmail.com</t>
  </si>
  <si>
    <t>Brad</t>
  </si>
  <si>
    <t>Dudley</t>
  </si>
  <si>
    <t>detail work</t>
  </si>
  <si>
    <t>Tejas R</t>
  </si>
  <si>
    <t>Dhami</t>
  </si>
  <si>
    <t>tdhami@mytechnowizard.com</t>
  </si>
  <si>
    <t xml:space="preserve">1685 Old Manchester Road Westminster MD 21157 </t>
  </si>
  <si>
    <t>Office Depot</t>
  </si>
  <si>
    <t>Hammed</t>
  </si>
  <si>
    <t>Sommers</t>
  </si>
  <si>
    <t>(301) 704-4553</t>
  </si>
  <si>
    <t>Kenneth &amp; Jennifer</t>
  </si>
  <si>
    <t>Lindyberg</t>
  </si>
  <si>
    <t>(443) 797-4775</t>
  </si>
  <si>
    <t>2916 Greene Rd Harford MD 21093 United States</t>
  </si>
  <si>
    <t>(443) 463-5955</t>
  </si>
  <si>
    <t>susan</t>
  </si>
  <si>
    <t>lobas</t>
  </si>
  <si>
    <t>susan.lobas121982@gmail.com</t>
  </si>
  <si>
    <t>Target Pharmacy</t>
  </si>
  <si>
    <t>(410) 683-6517</t>
  </si>
  <si>
    <t>Coach</t>
  </si>
  <si>
    <t>Tobias</t>
  </si>
  <si>
    <t>Sharon</t>
  </si>
  <si>
    <t>Milt Sister</t>
  </si>
  <si>
    <t>Damion</t>
  </si>
  <si>
    <t>Halsted</t>
  </si>
  <si>
    <t>dhalstad@hcolaw.com</t>
  </si>
  <si>
    <t>24 North Court Street Westminster MD 211157 United States</t>
  </si>
  <si>
    <t>Mayo</t>
  </si>
  <si>
    <t>Bassett Furniture</t>
  </si>
  <si>
    <t>Sales Consultant</t>
  </si>
  <si>
    <t>ammayo@bassettfurniture.com</t>
  </si>
  <si>
    <t>100-G Shawan Road HuntValley  Maryland 21030 USA</t>
  </si>
  <si>
    <t>Gould</t>
  </si>
  <si>
    <t>(410) 428-8351</t>
  </si>
  <si>
    <t>Adessa</t>
  </si>
  <si>
    <t>Debbie</t>
  </si>
  <si>
    <t>Wildberger</t>
  </si>
  <si>
    <t>Bill Evans Home Tream</t>
  </si>
  <si>
    <t>(443) 699-5773</t>
  </si>
  <si>
    <t>terry@billevanshometeam.com</t>
  </si>
  <si>
    <t>Pf</t>
  </si>
  <si>
    <t>changs</t>
  </si>
  <si>
    <t>Charlie</t>
  </si>
  <si>
    <t>Simmons</t>
  </si>
  <si>
    <t>(410) 961-0280</t>
  </si>
  <si>
    <t>(326) 651-11</t>
  </si>
  <si>
    <t>llcmsimmons@gmail.com</t>
  </si>
  <si>
    <t>+1 (443) 655-6969</t>
  </si>
  <si>
    <t>Referal from Todd for toyota solara</t>
  </si>
  <si>
    <t>Andrew</t>
  </si>
  <si>
    <t>ward/ landr</t>
  </si>
  <si>
    <t>Uk Motord Ltd</t>
  </si>
  <si>
    <t>479 Main St Felton PA 17322 United States</t>
  </si>
  <si>
    <t>Cathie</t>
  </si>
  <si>
    <t>Pagan</t>
  </si>
  <si>
    <t>CPagan@crowntitle.com</t>
  </si>
  <si>
    <t>Keene Dodge</t>
  </si>
  <si>
    <t>(410) 557-7127</t>
  </si>
  <si>
    <t>Brian adams</t>
  </si>
  <si>
    <t>Wilfredo</t>
  </si>
  <si>
    <t>Klk Painting</t>
  </si>
  <si>
    <t>(412) 390-4293</t>
  </si>
  <si>
    <t>Weber</t>
  </si>
  <si>
    <t>sweber@flo-tron.com</t>
  </si>
  <si>
    <t>10604 Beaver Dam Road Hunt Valley  Maryland 21030 USA</t>
  </si>
  <si>
    <t>Northeast Seamless Gutter Inc</t>
  </si>
  <si>
    <t>20219 Kirkwood Shop Rd White Hall MD 21161 United States</t>
  </si>
  <si>
    <t>Venn</t>
  </si>
  <si>
    <t>+1 (410) 818-0663</t>
  </si>
  <si>
    <t>Kelli</t>
  </si>
  <si>
    <t>Graefe</t>
  </si>
  <si>
    <t>Eduardo</t>
  </si>
  <si>
    <t>Portella</t>
  </si>
  <si>
    <t>Components REALTORe</t>
  </si>
  <si>
    <t>1919 York Rd Timonium  Maryland 21093 USA</t>
  </si>
  <si>
    <t>Fiore</t>
  </si>
  <si>
    <t>(410) 461-1040</t>
  </si>
  <si>
    <t xml:space="preserve">Robert </t>
  </si>
  <si>
    <t>Asphalt</t>
  </si>
  <si>
    <t>(410) 365-5704</t>
  </si>
  <si>
    <t>(410) 299-2517</t>
  </si>
  <si>
    <t>(410) 329-9673</t>
  </si>
  <si>
    <t>jkbrown4@verizon.com</t>
  </si>
  <si>
    <t>3 Stag Court Phoenix MD  United States</t>
  </si>
  <si>
    <t>Manheim</t>
  </si>
  <si>
    <t>1190 Lancaster Rd Manheim PA 17545 United States</t>
  </si>
  <si>
    <t>Hvac</t>
  </si>
  <si>
    <t>(443) 858-4163</t>
  </si>
  <si>
    <t>(410) 666-9105</t>
  </si>
  <si>
    <t>FERGU Q N.</t>
  </si>
  <si>
    <t>justin.ravera@ferguson.com</t>
  </si>
  <si>
    <t>Justin Ravera INSIDE SALES    United States</t>
  </si>
  <si>
    <t>Rick &amp;  Janice</t>
  </si>
  <si>
    <t>Verderamo</t>
  </si>
  <si>
    <t>(410) 821-5538</t>
  </si>
  <si>
    <t>Acadia Windows</t>
  </si>
  <si>
    <t>(410) 780-9600</t>
  </si>
  <si>
    <t>bthomas@acadiawindows.com</t>
  </si>
  <si>
    <t>Christman</t>
  </si>
  <si>
    <t>Schwandtner</t>
  </si>
  <si>
    <t>709 Claridge Ct Bel Air</t>
  </si>
  <si>
    <t xml:space="preserve"> MD  21014 United States    United States</t>
  </si>
  <si>
    <t>Melefsky</t>
  </si>
  <si>
    <t>Eco Upholstery &amp; trim</t>
  </si>
  <si>
    <t xml:space="preserve">Geoff </t>
  </si>
  <si>
    <t>(760) 532-8811</t>
  </si>
  <si>
    <t>Tonia Bleecher</t>
  </si>
  <si>
    <t>Ryan Pontious</t>
  </si>
  <si>
    <t>(208) 964-3986</t>
  </si>
  <si>
    <t>Kk</t>
  </si>
  <si>
    <t>13602 Blenheim Rd Phoenix MD 21131 United States</t>
  </si>
  <si>
    <t>Kristina</t>
  </si>
  <si>
    <t>Property Manager</t>
  </si>
  <si>
    <t>(443) 686-9477</t>
  </si>
  <si>
    <t>Verzi</t>
  </si>
  <si>
    <t>(410) 937-8921</t>
  </si>
  <si>
    <t>(410) 692-64</t>
  </si>
  <si>
    <t>Edell</t>
  </si>
  <si>
    <t>(410) 935-7465</t>
  </si>
  <si>
    <t>(410) 494-9398</t>
  </si>
  <si>
    <t>lisae22@comcast.net</t>
  </si>
  <si>
    <t>8437  Pleasant Plains Road Towson MD 21286 United States</t>
  </si>
  <si>
    <t>Tad &amp; Lenore</t>
  </si>
  <si>
    <t>410-771-1008</t>
  </si>
  <si>
    <t>tadlyon@icloud.com</t>
  </si>
  <si>
    <t xml:space="preserve">55 Winterberry Ct Cockeysville MD 21030 </t>
  </si>
  <si>
    <t>Fulwood</t>
  </si>
  <si>
    <t>(410) 960-9329</t>
  </si>
  <si>
    <t>(443) 528-7144</t>
  </si>
  <si>
    <t>Gobell</t>
  </si>
  <si>
    <t>Pasta Blitz</t>
  </si>
  <si>
    <t>(410) 453-6603</t>
  </si>
  <si>
    <t>Darryl</t>
  </si>
  <si>
    <t>mason</t>
  </si>
  <si>
    <t>Bonvissuto</t>
  </si>
  <si>
    <t>tombonvissuto@gmailcom</t>
  </si>
  <si>
    <t>Levitsky</t>
  </si>
  <si>
    <t>Ross</t>
  </si>
  <si>
    <t>SS# 218-72-8122</t>
  </si>
  <si>
    <t>Monica</t>
  </si>
  <si>
    <t>Kander</t>
  </si>
  <si>
    <t>(443) 253-7823</t>
  </si>
  <si>
    <t>jacobs</t>
  </si>
  <si>
    <t xml:space="preserve">J&amp;J Plumbing. </t>
  </si>
  <si>
    <t>j-jplumbing@hotmail.com</t>
  </si>
  <si>
    <t>Housley</t>
  </si>
  <si>
    <t>Nanny</t>
  </si>
  <si>
    <t>(443) 615-8804</t>
  </si>
  <si>
    <t>ashleee014@gmail.com</t>
  </si>
  <si>
    <t>+1 (410) 456-1846</t>
  </si>
  <si>
    <t>Heiland</t>
  </si>
  <si>
    <t>+1 (410) 852-5495</t>
  </si>
  <si>
    <t>2410 Derby Drive Fallston MD 21047 United States</t>
  </si>
  <si>
    <t>Hereford Pharmacy</t>
  </si>
  <si>
    <t>(410) 329-6209</t>
  </si>
  <si>
    <t>Holly</t>
  </si>
  <si>
    <t>Pozecki1@aol.com</t>
  </si>
  <si>
    <t>Pat &amp; Beth</t>
  </si>
  <si>
    <t>3602 Jackson Cabin Rd Phoenix MD 21131 United States</t>
  </si>
  <si>
    <t>Hundt</t>
  </si>
  <si>
    <t>(443) 677-6023</t>
  </si>
  <si>
    <t>Siltman</t>
  </si>
  <si>
    <t>Maurene</t>
  </si>
  <si>
    <t>Tj</t>
  </si>
  <si>
    <t>Napa</t>
  </si>
  <si>
    <t>(410) 490-7831</t>
  </si>
  <si>
    <t>bush</t>
  </si>
  <si>
    <t>Miner</t>
  </si>
  <si>
    <t>(410) 292-3073</t>
  </si>
  <si>
    <t>(410) 365-1608</t>
  </si>
  <si>
    <t>Summer School Driver</t>
  </si>
  <si>
    <t>Dough</t>
  </si>
  <si>
    <t>Linderman</t>
  </si>
  <si>
    <t>Golf</t>
  </si>
  <si>
    <t>vantrigtr@fireside.com</t>
  </si>
  <si>
    <t>Donna</t>
  </si>
  <si>
    <t>(410) 294-1733</t>
  </si>
  <si>
    <t>26 Gorsuch Rd Timonium MD 21093 United States</t>
  </si>
  <si>
    <t>Renee</t>
  </si>
  <si>
    <t>Salvo</t>
  </si>
  <si>
    <t>Roof Center Comercial</t>
  </si>
  <si>
    <t>(888) 723-2266</t>
  </si>
  <si>
    <t>Shockey</t>
  </si>
  <si>
    <t>Custom Construction</t>
  </si>
  <si>
    <t>shockey.william@gmail.com</t>
  </si>
  <si>
    <t>4470 Bartholow Rd Sykesville Maryland 21784 USA</t>
  </si>
  <si>
    <t>Valley Glass Co</t>
  </si>
  <si>
    <t>(410) 785-1300</t>
  </si>
  <si>
    <t>(410) 666-1260</t>
  </si>
  <si>
    <t>10720 Roberts Private Road Cockeysville MD 21030 United States</t>
  </si>
  <si>
    <t>Danadio</t>
  </si>
  <si>
    <t>(410) 591-0537</t>
  </si>
  <si>
    <t>Diana</t>
  </si>
  <si>
    <t>Russell</t>
  </si>
  <si>
    <t>For The Boys Painting</t>
  </si>
  <si>
    <t xml:space="preserve">Michael </t>
  </si>
  <si>
    <t>Highland</t>
  </si>
  <si>
    <t>Bge Subcontractor</t>
  </si>
  <si>
    <t>Slacum</t>
  </si>
  <si>
    <t>(443) 841-5729</t>
  </si>
  <si>
    <t>Wyant</t>
  </si>
  <si>
    <t>Denise R.</t>
  </si>
  <si>
    <t>Patterson</t>
  </si>
  <si>
    <t>SUPPLY</t>
  </si>
  <si>
    <t>Inside Sales Representative</t>
  </si>
  <si>
    <t>atterson@lwsupply.com</t>
  </si>
  <si>
    <t>L&amp;W Supply-Baltimore East 10521 Industrial Park Drive WHite MaJsh  Maryland 21162 USA</t>
  </si>
  <si>
    <t>P.</t>
  </si>
  <si>
    <t>F. Changs</t>
  </si>
  <si>
    <t>(410) 372-5250</t>
  </si>
  <si>
    <t>Wilmot</t>
  </si>
  <si>
    <t>Davanzo</t>
  </si>
  <si>
    <t>Wanda &amp; Will</t>
  </si>
  <si>
    <t>Greystone Golf Course</t>
  </si>
  <si>
    <t>+1 (410) 908-3130</t>
  </si>
  <si>
    <t>Tiffany</t>
  </si>
  <si>
    <t>Mettel</t>
  </si>
  <si>
    <t>(443) 473-1072</t>
  </si>
  <si>
    <t>jamie</t>
  </si>
  <si>
    <t>brown</t>
  </si>
  <si>
    <t>(443) 983-8601</t>
  </si>
  <si>
    <t>(410) 550-9196</t>
  </si>
  <si>
    <t>Hellen</t>
  </si>
  <si>
    <t>22 Coram Swezeytown Rd Middle Island</t>
  </si>
  <si>
    <t xml:space="preserve"> NY  11727 United States    United States</t>
  </si>
  <si>
    <t>Horton</t>
  </si>
  <si>
    <t>Casemic Contracting (drywall)</t>
  </si>
  <si>
    <t>(443) 250-0357</t>
  </si>
  <si>
    <t>casemicsteve@icloud.com</t>
  </si>
  <si>
    <t>Adrian</t>
  </si>
  <si>
    <t>sushko</t>
  </si>
  <si>
    <t>Phil</t>
  </si>
  <si>
    <t>lisa</t>
  </si>
  <si>
    <t>Blackman</t>
  </si>
  <si>
    <t>(434) 327-9656</t>
  </si>
  <si>
    <t>Jarvis</t>
  </si>
  <si>
    <t>Joel &amp; Jennifer</t>
  </si>
  <si>
    <t>Baumgartner</t>
  </si>
  <si>
    <t>joel@baumgartnerinc.net</t>
  </si>
  <si>
    <t>Valenti</t>
  </si>
  <si>
    <t>+1 (443) 465-6230</t>
  </si>
  <si>
    <t>chiefv2002@yahoo.com</t>
  </si>
  <si>
    <t>Hilary &amp; Stewart</t>
  </si>
  <si>
    <t>+1 (443) 310-7262</t>
  </si>
  <si>
    <t>(410) 484-5267</t>
  </si>
  <si>
    <t>Mobile Headliner</t>
  </si>
  <si>
    <t>Solomans Drywall</t>
  </si>
  <si>
    <t>Effy</t>
  </si>
  <si>
    <t>Lamp</t>
  </si>
  <si>
    <t>(410) 456-6286</t>
  </si>
  <si>
    <t>Gelson</t>
  </si>
  <si>
    <t>Gil</t>
  </si>
  <si>
    <t>Justin</t>
  </si>
  <si>
    <t>Energy Services</t>
  </si>
  <si>
    <t>Roundtop Mountain Resort</t>
  </si>
  <si>
    <t>(717) 432-9631</t>
  </si>
  <si>
    <t>925 Roundtop Road Lewisberry PA 17339 United States</t>
  </si>
  <si>
    <t>Les &amp; Debra</t>
  </si>
  <si>
    <t>Buttion</t>
  </si>
  <si>
    <t>Mc Coach</t>
  </si>
  <si>
    <t>(410) 336-2465</t>
  </si>
  <si>
    <t>Ledo Pizza</t>
  </si>
  <si>
    <t>+1 (410) 785-5336</t>
  </si>
  <si>
    <t>Fantoni</t>
  </si>
  <si>
    <t>Hugh</t>
  </si>
  <si>
    <t>(443) 655-8944</t>
  </si>
  <si>
    <t>Gq</t>
  </si>
  <si>
    <t>(240) 462-8240</t>
  </si>
  <si>
    <t>Marchese</t>
  </si>
  <si>
    <t>Neighbor</t>
  </si>
  <si>
    <t>Tyson</t>
  </si>
  <si>
    <t>Gary &amp; Pamela</t>
  </si>
  <si>
    <t>Jackson &amp; Gilmour</t>
  </si>
  <si>
    <t>5 Blenmont Ct Phoenix MD 21131 United States</t>
  </si>
  <si>
    <t>Marci</t>
  </si>
  <si>
    <t>Benda</t>
  </si>
  <si>
    <t>+1 (410) 967-2699</t>
  </si>
  <si>
    <t>Aline</t>
  </si>
  <si>
    <t>Hauber</t>
  </si>
  <si>
    <t>Clarisa</t>
  </si>
  <si>
    <t>Clarisa, downsyndrome work shop</t>
  </si>
  <si>
    <t>+1 (410) 491-9159</t>
  </si>
  <si>
    <t>Fred</t>
  </si>
  <si>
    <t>(410) 329-6204</t>
  </si>
  <si>
    <t>Lynch</t>
  </si>
  <si>
    <t>Bayonne Ave</t>
  </si>
  <si>
    <t>(667) 210-6508</t>
  </si>
  <si>
    <t>Jon</t>
  </si>
  <si>
    <t>Lefko</t>
  </si>
  <si>
    <t>Al Packer</t>
  </si>
  <si>
    <t>(410) 660-7765</t>
  </si>
  <si>
    <t>Al packer fimance directer</t>
  </si>
  <si>
    <t>Missy &amp; Susie</t>
  </si>
  <si>
    <t>house cleaners</t>
  </si>
  <si>
    <t>Diamond Detail</t>
  </si>
  <si>
    <t>(410) 785-0800</t>
  </si>
  <si>
    <t>Edwin</t>
  </si>
  <si>
    <t>Mccormick Paint</t>
  </si>
  <si>
    <t>Kirk</t>
  </si>
  <si>
    <t>(443) 790-2125</t>
  </si>
  <si>
    <t>Evelyn</t>
  </si>
  <si>
    <t>Hammand</t>
  </si>
  <si>
    <t>tabor</t>
  </si>
  <si>
    <t>Jackson</t>
  </si>
  <si>
    <t>Bobbye</t>
  </si>
  <si>
    <t>Helfand</t>
  </si>
  <si>
    <t>(443) 600-4087</t>
  </si>
  <si>
    <t>Jingles021@aol.com</t>
  </si>
  <si>
    <t>16 Canvas Pl Bel Air MD 21015 United States</t>
  </si>
  <si>
    <t>Shean</t>
  </si>
  <si>
    <t>Goldrick</t>
  </si>
  <si>
    <t>Christopher</t>
  </si>
  <si>
    <t>Buckner</t>
  </si>
  <si>
    <t>Terminix</t>
  </si>
  <si>
    <t>INSPECTOR</t>
  </si>
  <si>
    <t>cbuckner@terminix.com</t>
  </si>
  <si>
    <t>10715 Red Run Blvd Ste 112 Owings Mills  Maryland 21117 USA</t>
  </si>
  <si>
    <t>Kable</t>
  </si>
  <si>
    <t>2 English Saddle Ct Parkton MD 21120 United States</t>
  </si>
  <si>
    <t>Casa Mia's</t>
  </si>
  <si>
    <t>(410) 357-4231</t>
  </si>
  <si>
    <t>Adam &amp; Lin</t>
  </si>
  <si>
    <t>Frameless Glass</t>
  </si>
  <si>
    <t>Ad Lin Framless Glass</t>
  </si>
  <si>
    <t>(410) 960-3300</t>
  </si>
  <si>
    <t>(410) 893-0703</t>
  </si>
  <si>
    <t>valarino</t>
  </si>
  <si>
    <t>jimvalerino@gmail.com</t>
  </si>
  <si>
    <t>Paul &amp; Heidi</t>
  </si>
  <si>
    <t>Goldberg</t>
  </si>
  <si>
    <t>Rodriguec</t>
  </si>
  <si>
    <t>(301) 440-2957</t>
  </si>
  <si>
    <t>Rink</t>
  </si>
  <si>
    <t>(443) 604-6410</t>
  </si>
  <si>
    <t>Stauffer</t>
  </si>
  <si>
    <t>(215) 740-6205</t>
  </si>
  <si>
    <t>Bathory</t>
  </si>
  <si>
    <t>(443) 204-5114</t>
  </si>
  <si>
    <t>22 Tulip Tree Ln Essex MD 21221 United States</t>
  </si>
  <si>
    <t>Herb</t>
  </si>
  <si>
    <t>refuse</t>
  </si>
  <si>
    <t xml:space="preserve">Heather </t>
  </si>
  <si>
    <t>Crowe</t>
  </si>
  <si>
    <t>(301) 518-4063</t>
  </si>
  <si>
    <t>(410) 329-9767</t>
  </si>
  <si>
    <t>rogersm@kennedykrieger.org</t>
  </si>
  <si>
    <t>Ball</t>
  </si>
  <si>
    <t>Auctions</t>
  </si>
  <si>
    <t>Duell</t>
  </si>
  <si>
    <t>(410) 802-3384</t>
  </si>
  <si>
    <t>Steves</t>
  </si>
  <si>
    <t>Garage</t>
  </si>
  <si>
    <t>Trisha &amp; Christopher</t>
  </si>
  <si>
    <t>McRoberts</t>
  </si>
  <si>
    <t>7 Lantern Circle Parkton  MD 21120 United States</t>
  </si>
  <si>
    <t>Bosley Moulding</t>
  </si>
  <si>
    <t>Milton W. Bosley &amp; Co</t>
  </si>
  <si>
    <t>(410) 761-7727</t>
  </si>
  <si>
    <t>www.bosleymouldings.com</t>
  </si>
  <si>
    <t>131 8th Ave NW Glen Burnie MD 21061 United States</t>
  </si>
  <si>
    <t>Derezinski</t>
  </si>
  <si>
    <t>Wall &amp; Window Master Inc Jan Derezinski</t>
  </si>
  <si>
    <t>wwrtiaster@derezinski.com</t>
  </si>
  <si>
    <t>1120 East Riverside Ave Baltimore Md   21221-6315 United States</t>
  </si>
  <si>
    <t>Robyn</t>
  </si>
  <si>
    <t>Mcgregor</t>
  </si>
  <si>
    <t>(410) 852-4456</t>
  </si>
  <si>
    <t>Genisis</t>
  </si>
  <si>
    <t>(410) 832-8425</t>
  </si>
  <si>
    <t>(443) 829-0970</t>
  </si>
  <si>
    <t>Lisse</t>
  </si>
  <si>
    <t>+55 (11) 93002-4160</t>
  </si>
  <si>
    <t>Foultz</t>
  </si>
  <si>
    <t>(410) 713-2620</t>
  </si>
  <si>
    <t>Outback Steakhouse</t>
  </si>
  <si>
    <t>Emerick</t>
  </si>
  <si>
    <t>Vinyard</t>
  </si>
  <si>
    <t>Shaw</t>
  </si>
  <si>
    <t>222 Division Ave Lutherville MD 21093 United States</t>
  </si>
  <si>
    <t>Permit # B906612</t>
  </si>
  <si>
    <t>Lou</t>
  </si>
  <si>
    <t>(410) 456-2126</t>
  </si>
  <si>
    <t>Meineke</t>
  </si>
  <si>
    <t>Halins</t>
  </si>
  <si>
    <t>Wilmer</t>
  </si>
  <si>
    <t>(410) 337-0910</t>
  </si>
  <si>
    <t>Fulco</t>
  </si>
  <si>
    <t>(410) 916-2664</t>
  </si>
  <si>
    <t>Shelby's dad, ally's friend</t>
  </si>
  <si>
    <t>Sabre</t>
  </si>
  <si>
    <t>Wood</t>
  </si>
  <si>
    <t>(304) 319-4265</t>
  </si>
  <si>
    <t>Tamara</t>
  </si>
  <si>
    <t>Barnes</t>
  </si>
  <si>
    <t>(410) 967-3500</t>
  </si>
  <si>
    <t>Ralph</t>
  </si>
  <si>
    <t>LA Ornamental</t>
  </si>
  <si>
    <t>ralph@laornamental.com</t>
  </si>
  <si>
    <t>The Moving Company</t>
  </si>
  <si>
    <t>Blue Book</t>
  </si>
  <si>
    <t>Dunston</t>
  </si>
  <si>
    <t>Vicki</t>
  </si>
  <si>
    <t>Lrxus rx350</t>
  </si>
  <si>
    <t>Vic</t>
  </si>
  <si>
    <t xml:space="preserve">Hard money lender 12% and 3points $500 title processing if I don't use his attorney. </t>
  </si>
  <si>
    <t>TJ</t>
  </si>
  <si>
    <t>+1 (240) 575-8763</t>
  </si>
  <si>
    <t>Beyrodt</t>
  </si>
  <si>
    <t>(410) 474-1405</t>
  </si>
  <si>
    <t>(410) 586-1801</t>
  </si>
  <si>
    <t>Jyd</t>
  </si>
  <si>
    <t>Amrita</t>
  </si>
  <si>
    <t>Mishra</t>
  </si>
  <si>
    <t>(410) 627-4547</t>
  </si>
  <si>
    <t>ðŸ’›DaddioðŸ’›</t>
  </si>
  <si>
    <t>Natalie</t>
  </si>
  <si>
    <t>Sweitzer</t>
  </si>
  <si>
    <t>APPLE ABSTRACTS Limited Service in</t>
  </si>
  <si>
    <t>Maryland Absfractor</t>
  </si>
  <si>
    <t>nataliejbr@aol.com</t>
  </si>
  <si>
    <t>Anne Â· Arundel Baliiij: Iore Co. Catuert. Caroline. Domb&amp;sfeF</t>
  </si>
  <si>
    <t xml:space="preserve"> Prince Georges</t>
  </si>
  <si>
    <t>Geravsio</t>
  </si>
  <si>
    <t>The Tile Shop</t>
  </si>
  <si>
    <t>(443) 270-0424</t>
  </si>
  <si>
    <t>cristin.gervasio@tileshop.com</t>
  </si>
  <si>
    <t>2301 York Road Timonium MD 21093 United States</t>
  </si>
  <si>
    <t>Dona</t>
  </si>
  <si>
    <t>Emanual</t>
  </si>
  <si>
    <t>Big Tree Auto Brokers</t>
  </si>
  <si>
    <t>Eliott</t>
  </si>
  <si>
    <t>Hebb</t>
  </si>
  <si>
    <t>(410) 598-9440</t>
  </si>
  <si>
    <t>Jerry Preston</t>
  </si>
  <si>
    <t>+1 (410) 557-6969</t>
  </si>
  <si>
    <t>Janda Florist</t>
  </si>
  <si>
    <t>(410) 666-8888</t>
  </si>
  <si>
    <t>10 Cranbrook Road Cockeysville MD 21030 United States</t>
  </si>
  <si>
    <t>Jane</t>
  </si>
  <si>
    <t>/ bill  Crist</t>
  </si>
  <si>
    <t>Juli</t>
  </si>
  <si>
    <t>Baltimore Granite</t>
  </si>
  <si>
    <t>(443) 846-2793</t>
  </si>
  <si>
    <t>Walley</t>
  </si>
  <si>
    <t>Guenther</t>
  </si>
  <si>
    <t>(410) 428-7379</t>
  </si>
  <si>
    <t>(410) 937-1981</t>
  </si>
  <si>
    <t>Jackie</t>
  </si>
  <si>
    <t>Nicoll</t>
  </si>
  <si>
    <t>(410) 667-1900</t>
  </si>
  <si>
    <t>jackie.nicoll@longandfoster.com</t>
  </si>
  <si>
    <t>14228 Jarrettsville Pike Phoenix MD 21131 United States</t>
  </si>
  <si>
    <t>11705 Hunters Run Cockeysville MD 21030</t>
  </si>
  <si>
    <t>Dell</t>
  </si>
  <si>
    <t>Custom Ground Maintenance</t>
  </si>
  <si>
    <t>(410) 374-6309</t>
  </si>
  <si>
    <t>customgroundinc@gmail.com</t>
  </si>
  <si>
    <t>17539 Pretty Boy Dam Rd Parkton MD 21120 United States</t>
  </si>
  <si>
    <t>van Trigt</t>
  </si>
  <si>
    <t>(443) 250-4291</t>
  </si>
  <si>
    <t>Van-TrigtR@hearthnhome.com</t>
  </si>
  <si>
    <t>Fire place supplier.</t>
  </si>
  <si>
    <t>Joanne</t>
  </si>
  <si>
    <t>Gizzi</t>
  </si>
  <si>
    <t>Glenda</t>
  </si>
  <si>
    <t>Linda's Cleaning</t>
  </si>
  <si>
    <t>Bonomo</t>
  </si>
  <si>
    <t>The</t>
  </si>
  <si>
    <t>Filler  Up</t>
  </si>
  <si>
    <t>Mo</t>
  </si>
  <si>
    <t>(443) 929-0576</t>
  </si>
  <si>
    <t>Alan &amp; Rachel</t>
  </si>
  <si>
    <t>Maw</t>
  </si>
  <si>
    <t>rachelmaw@hotmail.com</t>
  </si>
  <si>
    <t>10705 Sprinkle Ln Owings Mills MD 21117-4004 United States</t>
  </si>
  <si>
    <t>1/2 ace lot, 1,184 sq feet, year built 1915</t>
  </si>
  <si>
    <t>Baseman</t>
  </si>
  <si>
    <t>(410) 357-9495</t>
  </si>
  <si>
    <t>Maryfrancis</t>
  </si>
  <si>
    <t>(410) 686-3554</t>
  </si>
  <si>
    <t>mfduerr1@comcast.net</t>
  </si>
  <si>
    <t>Free State Timber</t>
  </si>
  <si>
    <t>Taso</t>
  </si>
  <si>
    <t>Blue Stone</t>
  </si>
  <si>
    <t>(410) 561-1100</t>
  </si>
  <si>
    <t>Casey</t>
  </si>
  <si>
    <t>Ryans Teacher</t>
  </si>
  <si>
    <t>raver</t>
  </si>
  <si>
    <t xml:space="preserve">Bill </t>
  </si>
  <si>
    <t>Queael</t>
  </si>
  <si>
    <t>+1 (443) 690-4042</t>
  </si>
  <si>
    <t>Ohara</t>
  </si>
  <si>
    <t>(410) 786-8347</t>
  </si>
  <si>
    <t>Randy/marisa</t>
  </si>
  <si>
    <t>Cotteleer</t>
  </si>
  <si>
    <t>marisa@cotteleer.com</t>
  </si>
  <si>
    <t>Daughters name is april</t>
  </si>
  <si>
    <t xml:space="preserve">Steve </t>
  </si>
  <si>
    <t>Price</t>
  </si>
  <si>
    <t>+1 (443) 250-2483</t>
  </si>
  <si>
    <t>Packer</t>
  </si>
  <si>
    <t>Norris Part</t>
  </si>
  <si>
    <t>County Paving</t>
  </si>
  <si>
    <t>(410) 207-3712</t>
  </si>
  <si>
    <t>(410) 343-1221</t>
  </si>
  <si>
    <t>Belair Road Supply</t>
  </si>
  <si>
    <t>(410) 857-9630</t>
  </si>
  <si>
    <t>7750 Pulaski Highway Baltimore MD 21237 United States</t>
  </si>
  <si>
    <t>Feaster</t>
  </si>
  <si>
    <t>sfeaster@ncfunding.net</t>
  </si>
  <si>
    <t>Lynn Palmers Dealer Goodies</t>
  </si>
  <si>
    <t>(717) 665-6510</t>
  </si>
  <si>
    <t>print</t>
  </si>
  <si>
    <t>shack</t>
  </si>
  <si>
    <t>ampmgt@aol.com</t>
  </si>
  <si>
    <t>Wendy</t>
  </si>
  <si>
    <t>Bonilla</t>
  </si>
  <si>
    <t>Jose Bonilla (Owner)</t>
  </si>
  <si>
    <t>kcnicoleconst@gmail.com</t>
  </si>
  <si>
    <t xml:space="preserve">Contact Us at anytime free estimates    </t>
  </si>
  <si>
    <t>Candace</t>
  </si>
  <si>
    <t>(443) 491-3343</t>
  </si>
  <si>
    <t>7805  Clarkworth Place Parkville MD 21234 United States</t>
  </si>
  <si>
    <t>Nester</t>
  </si>
  <si>
    <t>+1 (786) 474-5343</t>
  </si>
  <si>
    <t>Mking</t>
  </si>
  <si>
    <t>mking@bcps.org</t>
  </si>
  <si>
    <t>Padonia</t>
  </si>
  <si>
    <t>dental</t>
  </si>
  <si>
    <t>TJ &amp; Nichole</t>
  </si>
  <si>
    <t>(732) 207-8991</t>
  </si>
  <si>
    <t>Andrew &amp; Ashley</t>
  </si>
  <si>
    <t>Fitzhugh</t>
  </si>
  <si>
    <t>Amazing HVAC</t>
  </si>
  <si>
    <t>(410) 685-0383</t>
  </si>
  <si>
    <t>andrew@amazinghvac.com</t>
  </si>
  <si>
    <t>1922 Light Street Baltimore MD 21230 United States</t>
  </si>
  <si>
    <t>Carolyn &amp; Ginni</t>
  </si>
  <si>
    <t>Elkins</t>
  </si>
  <si>
    <t>(410) 825-0723</t>
  </si>
  <si>
    <t>603 Stags Head Ct Towson MD 21286 United States</t>
  </si>
  <si>
    <t xml:space="preserve">Daughter is 35 with downsyndrom. </t>
  </si>
  <si>
    <t>Young</t>
  </si>
  <si>
    <t>S&amp;S Transport</t>
  </si>
  <si>
    <t>(443) 831-4651</t>
  </si>
  <si>
    <t>Schrieber</t>
  </si>
  <si>
    <t>(443) 812-1975</t>
  </si>
  <si>
    <t>5115 Starsplit Ln Columbia MD 21044 United States</t>
  </si>
  <si>
    <t>Epi Labelers</t>
  </si>
  <si>
    <t>(717) 779-5333</t>
  </si>
  <si>
    <t>George</t>
  </si>
  <si>
    <t>Phil Friend</t>
  </si>
  <si>
    <t>(410) 688-0715</t>
  </si>
  <si>
    <t>Gaultney</t>
  </si>
  <si>
    <t>Pevco</t>
  </si>
  <si>
    <t>(443) 250-1620</t>
  </si>
  <si>
    <t>Lucas</t>
  </si>
  <si>
    <t>Chesapeake Plywood</t>
  </si>
  <si>
    <t>(410) 244-0055</t>
  </si>
  <si>
    <t>lucasgrace@chesapeakeplywood.com</t>
  </si>
  <si>
    <t>3400 East Biddle St Baltimore MD 21213 United States</t>
  </si>
  <si>
    <t>Mary warren &amp; James Scholtes</t>
  </si>
  <si>
    <t>14351 Hampshire Knob Drive Phoenix MD 21131 United States</t>
  </si>
  <si>
    <t>Kelley</t>
  </si>
  <si>
    <t>Fence &amp; Deck Direct</t>
  </si>
  <si>
    <t>(410) 247-0707</t>
  </si>
  <si>
    <t>1901 Halethorpe Ave Halethorpe MD 21227 United States</t>
  </si>
  <si>
    <t>Son</t>
  </si>
  <si>
    <t>Aegis</t>
  </si>
  <si>
    <t>(212) 806-6386</t>
  </si>
  <si>
    <t>(443) 386-3651</t>
  </si>
  <si>
    <t>Charles &amp; Rosemary</t>
  </si>
  <si>
    <t>Meade</t>
  </si>
  <si>
    <t>(410) 527-0819</t>
  </si>
  <si>
    <t>20 Timberwood Ct Cockeysville MD 21030 United States</t>
  </si>
  <si>
    <t>Stuart</t>
  </si>
  <si>
    <t>Brennan Moore Truckin</t>
  </si>
  <si>
    <t>(940) 642-7739</t>
  </si>
  <si>
    <t>Inc.</t>
  </si>
  <si>
    <t>Townhouse Sprinklers</t>
  </si>
  <si>
    <t>410-812-5540</t>
  </si>
  <si>
    <t>1217 Providence Road Towson MD 21286 United States of America</t>
  </si>
  <si>
    <t>(410) 491-1733</t>
  </si>
  <si>
    <t>100 West Hair Studio    United States</t>
  </si>
  <si>
    <t>Robertson</t>
  </si>
  <si>
    <t>Demo Cleanout</t>
  </si>
  <si>
    <t>Sherwin Williams</t>
  </si>
  <si>
    <t>(410) 252-6440</t>
  </si>
  <si>
    <t>Schrecengost</t>
  </si>
  <si>
    <t>Blevins &amp; Son Septic</t>
  </si>
  <si>
    <t>(443) 377-7609</t>
  </si>
  <si>
    <t>Johnathan</t>
  </si>
  <si>
    <t>Jsandroid@gmail.com</t>
  </si>
  <si>
    <t>(410) 967-9223</t>
  </si>
  <si>
    <t>anthony.r.miller@baml.com</t>
  </si>
  <si>
    <t>Mandy &amp; David</t>
  </si>
  <si>
    <t>Gaffney</t>
  </si>
  <si>
    <t>MGaffney@GaffneyGroup.com</t>
  </si>
  <si>
    <t>120 Foxfire Drive Murphy NC 28906 United States</t>
  </si>
  <si>
    <t>Dalton</t>
  </si>
  <si>
    <t>cdalton@mtb.com</t>
  </si>
  <si>
    <t>St johns Pool</t>
  </si>
  <si>
    <t>(410) 458-3997</t>
  </si>
  <si>
    <t>M S International</t>
  </si>
  <si>
    <t>7595 Montevideo Rd Suite 200 Jessup MD 20794 United States</t>
  </si>
  <si>
    <t>Brent</t>
  </si>
  <si>
    <t>Measley</t>
  </si>
  <si>
    <t>Fawn View Excavating</t>
  </si>
  <si>
    <t>538 N McDermott Road Fawn Grove PA 17321 United States</t>
  </si>
  <si>
    <t>Noman</t>
  </si>
  <si>
    <t>Dowty</t>
  </si>
  <si>
    <t>Jo-Ann Fabric</t>
  </si>
  <si>
    <t>(410) 628-0805</t>
  </si>
  <si>
    <t>9978 York Rd Cockeysville MD 21030 United States</t>
  </si>
  <si>
    <t>Main Page</t>
  </si>
  <si>
    <t>Type of Form:</t>
  </si>
  <si>
    <t>Invoice</t>
  </si>
  <si>
    <t>INPUT NEEDED</t>
  </si>
  <si>
    <t>NO INPUT NEEDED</t>
  </si>
  <si>
    <t>Fixed Cost Items</t>
  </si>
  <si>
    <t>Item</t>
  </si>
  <si>
    <t>Labor Hours</t>
  </si>
  <si>
    <t>Hardware</t>
  </si>
  <si>
    <t>Labor</t>
  </si>
  <si>
    <t>Quantity</t>
  </si>
  <si>
    <t>Hardware Cost</t>
  </si>
  <si>
    <t>Material Cost</t>
  </si>
  <si>
    <t>Labor Cost</t>
  </si>
  <si>
    <t>=</t>
  </si>
  <si>
    <t>Labor Cost Per Hour:</t>
  </si>
  <si>
    <t>Quantity Total</t>
  </si>
  <si>
    <t>Cost Per Item Total</t>
  </si>
  <si>
    <t>Cost Per Item</t>
  </si>
  <si>
    <t>Material Cost Total</t>
  </si>
  <si>
    <t>Hardware Total</t>
  </si>
  <si>
    <t>Hardware Cost Total</t>
  </si>
  <si>
    <t>Labor Total</t>
  </si>
  <si>
    <t>Labor Cost Total</t>
  </si>
  <si>
    <t>Client Name:</t>
  </si>
  <si>
    <t>Address:</t>
  </si>
  <si>
    <t>Address</t>
  </si>
  <si>
    <t>Name</t>
  </si>
  <si>
    <t>*Client</t>
  </si>
  <si>
    <t>Phone#:</t>
  </si>
  <si>
    <t>Alt Phone#:</t>
  </si>
  <si>
    <t>1831 Darrich Dr Parkville Md, 21234</t>
  </si>
  <si>
    <t>db@dabomb.com</t>
  </si>
  <si>
    <t>district school</t>
  </si>
  <si>
    <t>410 377-2270</t>
  </si>
  <si>
    <t>Email Address</t>
  </si>
  <si>
    <t xml:space="preserve"> 126 Shawan rd Cockeysville md   21030 United States</t>
  </si>
  <si>
    <t xml:space="preserve">1340 Smith Avenue Suite 200    </t>
  </si>
  <si>
    <t xml:space="preserve"> 110 East 42nd St. 16th Fl New York New York 10017 USA</t>
  </si>
  <si>
    <t>523 Seninary Ave Baltimore  MD 21286 United States, 4 St Georges Rd Baltimore MD 21210 United States</t>
  </si>
  <si>
    <t xml:space="preserve"> 1966 Greenspring Drive Suite 405 Timonium  Maryland 21093 USA</t>
  </si>
  <si>
    <t xml:space="preserve"> 417 East Fayette Street Suite 355 Baltimore Maryland 21202 USA</t>
  </si>
  <si>
    <t xml:space="preserve">5130 Allendctle Lane Tcmeytown Marylamd   21787 </t>
  </si>
  <si>
    <t xml:space="preserve"> State License #31100    United States</t>
  </si>
  <si>
    <t xml:space="preserve"> Environmental Protection and Sustainability Ground Water Management 111 W. Chesapeake Avenue Room 319 Towson  Maryland 21204 USA</t>
  </si>
  <si>
    <t xml:space="preserve"> 824 East Main Street PO Box 759 Ephrata Pennsylvania 17522 USA</t>
  </si>
  <si>
    <t xml:space="preserve"> 6030 Daybreak Circle Suite A-150 Box 272 Clarksville  Maryland 21029 USA</t>
  </si>
  <si>
    <t xml:space="preserve"> 6030 Daybreak Circle Suite A-150 Box 272 Clarksville IvlD 21029 </t>
  </si>
  <si>
    <t>300 E Lombard St Baltimore MD 21202 United States, 603 Coachmans Way Parkton MD 21120 United States</t>
  </si>
  <si>
    <t>Personal and Workplace Investing Towson, Investments Representative MD/Investor Center</t>
  </si>
  <si>
    <t>Cool stuff happening here</t>
  </si>
  <si>
    <t>Job Number:</t>
  </si>
  <si>
    <t>Job Location</t>
  </si>
  <si>
    <t>Draw Schedule</t>
  </si>
  <si>
    <t>due at time of</t>
  </si>
  <si>
    <t>Variable Cost Items</t>
  </si>
  <si>
    <t>Cost of Item</t>
  </si>
  <si>
    <t>Material Price Point</t>
  </si>
  <si>
    <t>Hardware Price Point</t>
  </si>
  <si>
    <t>Total Variable Cost</t>
  </si>
  <si>
    <t>Total Fixed Cost</t>
  </si>
  <si>
    <t>Material schedule:</t>
  </si>
  <si>
    <t>DRAW SCHEDULE:</t>
  </si>
  <si>
    <t xml:space="preserve">  Authorized Signature:__________________________________________________ Note: This proposal may be withdrawn by us if not accepted within 20 Days.</t>
  </si>
  <si>
    <t>Address same as JOB checkbox</t>
  </si>
  <si>
    <t>The Place</t>
  </si>
  <si>
    <t>Street</t>
  </si>
  <si>
    <t>City</t>
  </si>
  <si>
    <t>State</t>
  </si>
  <si>
    <t xml:space="preserve">503 Montclair Ct </t>
  </si>
  <si>
    <t>MD</t>
  </si>
  <si>
    <t>Parkton</t>
  </si>
  <si>
    <t>Full Name</t>
  </si>
  <si>
    <t>First Name</t>
  </si>
  <si>
    <t>Title</t>
  </si>
  <si>
    <t>Main Number</t>
  </si>
  <si>
    <t>Alt Number</t>
  </si>
  <si>
    <t>Vacation Items Checklist</t>
  </si>
  <si>
    <t>Category</t>
  </si>
  <si>
    <t>o</t>
  </si>
  <si>
    <t>Visible?</t>
  </si>
  <si>
    <t>Last Name</t>
  </si>
  <si>
    <t>%</t>
  </si>
  <si>
    <t>Total Cost</t>
  </si>
  <si>
    <t>þ</t>
  </si>
  <si>
    <t>dumbdumb@thedumass.com</t>
  </si>
  <si>
    <t>1831 Darrich Drive</t>
  </si>
  <si>
    <t>Parkville</t>
  </si>
  <si>
    <t>Beck</t>
  </si>
  <si>
    <t>Yo Momma</t>
  </si>
  <si>
    <t>getupgetout@woophf.com</t>
  </si>
  <si>
    <t>1410 Chazadale Way</t>
  </si>
  <si>
    <t>Westminster</t>
  </si>
  <si>
    <t xml:space="preserve"> </t>
  </si>
  <si>
    <t>if found</t>
  </si>
  <si>
    <t>frequency</t>
  </si>
  <si>
    <t>searchable list</t>
  </si>
  <si>
    <t>If there</t>
  </si>
  <si>
    <t>Blanks</t>
  </si>
  <si>
    <t>Material Schedule</t>
  </si>
  <si>
    <t>freqdraw</t>
  </si>
  <si>
    <t>freqmaterial</t>
  </si>
  <si>
    <t>freqnotes</t>
  </si>
  <si>
    <t>Notes</t>
  </si>
  <si>
    <t>Notes:</t>
  </si>
  <si>
    <t>Total</t>
  </si>
  <si>
    <t>Client Name</t>
  </si>
  <si>
    <t>Phone 1</t>
  </si>
  <si>
    <t>Phone 2</t>
  </si>
  <si>
    <t>Job Number/Name</t>
  </si>
  <si>
    <t>Email address</t>
  </si>
  <si>
    <t>General</t>
  </si>
  <si>
    <t>Cost breakdown</t>
  </si>
  <si>
    <t>Total Fixed Cost Items</t>
  </si>
  <si>
    <t>Total Fixed Cost Material</t>
  </si>
  <si>
    <t>Total Fixed Cost Hardware</t>
  </si>
  <si>
    <t>Total Fixed Cost Labor</t>
  </si>
  <si>
    <t>Client Address</t>
  </si>
  <si>
    <t>Total Variable Cost Items</t>
  </si>
  <si>
    <t>Client Labor Cost</t>
  </si>
  <si>
    <t>Client Material Price Point</t>
  </si>
  <si>
    <t>Breakdown Report</t>
  </si>
  <si>
    <t>Completion</t>
  </si>
  <si>
    <t>Client Material Markup</t>
  </si>
  <si>
    <t>This contract and pricing is good for 15 days from the date of this contract.</t>
  </si>
  <si>
    <t>Job Number</t>
  </si>
  <si>
    <t>Type of Form</t>
  </si>
  <si>
    <t>she thinks she soooooo awesome but she wrong</t>
  </si>
  <si>
    <t>McBummerson</t>
  </si>
  <si>
    <t>410 336 5200</t>
  </si>
  <si>
    <t>503 Montclair Ct</t>
  </si>
  <si>
    <t>Test</t>
  </si>
  <si>
    <t>Client</t>
  </si>
  <si>
    <t>test@testcenter.com</t>
  </si>
  <si>
    <t>123 Party Pooper Lane</t>
  </si>
  <si>
    <t>This is a test of adding a client to the table</t>
  </si>
  <si>
    <t>Total Labor:</t>
  </si>
  <si>
    <t>Variable Labor:</t>
  </si>
  <si>
    <t>Tax Exempt?</t>
  </si>
  <si>
    <t>Special Price Point</t>
  </si>
  <si>
    <t>Markup Total:</t>
  </si>
  <si>
    <t>Tax Total:</t>
  </si>
  <si>
    <t>Zone</t>
  </si>
  <si>
    <t>Tax Rate</t>
  </si>
  <si>
    <t>Labor Taxed?</t>
  </si>
  <si>
    <t>AK</t>
  </si>
  <si>
    <t>NO</t>
  </si>
  <si>
    <t>AL</t>
  </si>
  <si>
    <t>YES</t>
  </si>
  <si>
    <t>AR</t>
  </si>
  <si>
    <t>AZ</t>
  </si>
  <si>
    <t>CA</t>
  </si>
  <si>
    <t>CO</t>
  </si>
  <si>
    <t>CT</t>
  </si>
  <si>
    <t>DC</t>
  </si>
  <si>
    <t>DE</t>
  </si>
  <si>
    <t>FL</t>
  </si>
  <si>
    <t>GA</t>
  </si>
  <si>
    <t>HI</t>
  </si>
  <si>
    <t>IA</t>
  </si>
  <si>
    <t>ID</t>
  </si>
  <si>
    <t>IL</t>
  </si>
  <si>
    <t>IN</t>
  </si>
  <si>
    <t>KS</t>
  </si>
  <si>
    <t>KY</t>
  </si>
  <si>
    <t>LA</t>
  </si>
  <si>
    <t>MA</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</si>
  <si>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</si>
  <si>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</si>
  <si>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</si>
  <si>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</si>
  <si>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</si>
  <si>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</si>
  <si>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</si>
  <si>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</si>
  <si>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</si>
  <si>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</si>
  <si>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</si>
  <si>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</si>
  <si>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</si>
  <si>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</si>
  <si>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</si>
  <si>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</si>
  <si>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</si>
  <si>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</si>
  <si>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</si>
  <si>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</si>
  <si>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</si>
  <si>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</si>
  <si>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</si>
  <si>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</si>
  <si>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</si>
  <si>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</si>
  <si>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</si>
  <si>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</si>
  <si>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</si>
  <si>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</si>
  <si>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COUNTRY</t>
  </si>
  <si>
    <t>VI</t>
  </si>
  <si>
    <t>Taxes:</t>
  </si>
  <si>
    <t>State:</t>
  </si>
  <si>
    <t>State Tax:</t>
  </si>
  <si>
    <t>Yes</t>
  </si>
  <si>
    <r>
      <t>%Here</t>
    </r>
    <r>
      <rPr>
        <b/>
        <sz val="14"/>
        <rFont val="Symbol"/>
        <family val="1"/>
        <charset val="2"/>
      </rPr>
      <t>®®</t>
    </r>
  </si>
  <si>
    <r>
      <t>%Locked</t>
    </r>
    <r>
      <rPr>
        <b/>
        <sz val="14"/>
        <rFont val="Symbol"/>
        <family val="1"/>
        <charset val="2"/>
      </rPr>
      <t>®</t>
    </r>
  </si>
  <si>
    <t>Taxed Variable Cost Items</t>
  </si>
  <si>
    <t>Total Tax:</t>
  </si>
  <si>
    <t>Total with tax</t>
  </si>
  <si>
    <t>Tax Total</t>
  </si>
  <si>
    <t>Yosemite</t>
  </si>
  <si>
    <t>Sam</t>
  </si>
  <si>
    <t>Looney Tunes</t>
  </si>
  <si>
    <t>Bugs</t>
  </si>
  <si>
    <t>Bunny</t>
  </si>
  <si>
    <t>Zip Code</t>
  </si>
  <si>
    <t>No</t>
  </si>
  <si>
    <t>Tazmanian</t>
  </si>
  <si>
    <t>Devil</t>
  </si>
  <si>
    <t>13 Spinny Street</t>
  </si>
  <si>
    <t>1 Hole Circle</t>
  </si>
  <si>
    <t>Middleton</t>
  </si>
  <si>
    <t>Overall Total with Markup/Taxes</t>
  </si>
  <si>
    <t>Total Cost with Taxes</t>
  </si>
  <si>
    <t>Taxes</t>
  </si>
  <si>
    <t>He's Rascaly</t>
  </si>
  <si>
    <t>He's gotta be dizzy</t>
  </si>
  <si>
    <t>124 Party Pooper Lane</t>
  </si>
  <si>
    <t>He loves rabbits</t>
  </si>
  <si>
    <t xml:space="preserve">We hereby submit specifications and estimates for: </t>
  </si>
  <si>
    <t>Total Taxes</t>
  </si>
  <si>
    <t>Page 01</t>
  </si>
  <si>
    <t>Page 02</t>
  </si>
  <si>
    <t>Page 03</t>
  </si>
  <si>
    <t>Page 04</t>
  </si>
  <si>
    <t>Page 05</t>
  </si>
  <si>
    <t>Page 06</t>
  </si>
  <si>
    <t>Page 07</t>
  </si>
  <si>
    <t>Page 08</t>
  </si>
  <si>
    <t>Page 09</t>
  </si>
  <si>
    <t>Page 10</t>
  </si>
  <si>
    <t>Page 11</t>
  </si>
  <si>
    <t>Page 12</t>
  </si>
  <si>
    <t>Page 13</t>
  </si>
  <si>
    <t>Page 14</t>
  </si>
  <si>
    <t>Page 15</t>
  </si>
  <si>
    <t>Page 16</t>
  </si>
  <si>
    <t>Page 17</t>
  </si>
  <si>
    <t>Page 18</t>
  </si>
  <si>
    <t>Page 19</t>
  </si>
  <si>
    <t>Page 20</t>
  </si>
  <si>
    <t>Page 21</t>
  </si>
  <si>
    <t>Form</t>
  </si>
  <si>
    <t>*Client Name</t>
  </si>
  <si>
    <t>Baseboard - 2 1/4"</t>
  </si>
  <si>
    <t>Door Opening (jamb and casing) - 32"-36" wide - paint grade</t>
  </si>
  <si>
    <t>Window trim set (casing &amp; stop)</t>
  </si>
  <si>
    <t>Paint door or window opening - 2 coats (per side)</t>
  </si>
  <si>
    <t>Baseboard electric heater - 4'</t>
  </si>
  <si>
    <t>Seal &amp; paint baseboard - 2 coats</t>
  </si>
  <si>
    <t>Carpet pad</t>
  </si>
  <si>
    <t>Carpet</t>
  </si>
  <si>
    <t>Interior door unit</t>
  </si>
  <si>
    <t>Door Lockset - Detach &amp; reset</t>
  </si>
  <si>
    <t>Batt insulation - 10" - R30 - unfaced batt</t>
  </si>
  <si>
    <t>1/2" drywall - hung, taped, floated, ready for paint</t>
  </si>
  <si>
    <t>Seal/prime then paint the wall and ceiling (2 coats)</t>
  </si>
  <si>
    <t>Bathroom ventilation fan</t>
  </si>
  <si>
    <t>Light fixture</t>
  </si>
  <si>
    <t>Seal/prime then paint the wall (2 coats)</t>
  </si>
  <si>
    <t>Batt insulation - 4" - R13 - unfaced batt</t>
  </si>
  <si>
    <t>Batt insulation - 10" - R30 - paper batt</t>
  </si>
  <si>
    <t>Ceiling fan and light</t>
  </si>
  <si>
    <t>Smoke detector</t>
  </si>
  <si>
    <t>Outlet or switch cover</t>
  </si>
  <si>
    <t>Bifold door - Colonist - Single</t>
  </si>
  <si>
    <t>Dumpster Load - Approx. 20 yards, 4 tons of debris</t>
  </si>
  <si>
    <t>Megohmmeter check electrical circuits - average residence</t>
  </si>
  <si>
    <t>Date</t>
  </si>
  <si>
    <t>Hours</t>
  </si>
  <si>
    <t>Oak Flooring - #1 common - no finsh</t>
  </si>
  <si>
    <t>Sand, Stain, and finish wood floor</t>
  </si>
  <si>
    <t>Heat/AC register - Mechanically attached</t>
  </si>
  <si>
    <t>Install Bypass (sliding) door set - Colonist</t>
  </si>
  <si>
    <t>Washing machine - Remove and reset</t>
  </si>
  <si>
    <t>Dryer - Remove and reset</t>
  </si>
  <si>
    <t>Batt insulation - 10" - R30 - paper faced</t>
  </si>
  <si>
    <t>Casing - 2 1/4"</t>
  </si>
  <si>
    <t>Seal &amp; paint casing - 2 coats</t>
  </si>
  <si>
    <t>Recessed lighting fixture</t>
  </si>
  <si>
    <t>Hanging light fixture</t>
  </si>
  <si>
    <t>Ceiling fan without light</t>
  </si>
  <si>
    <t>Ceramic/Porcelain tie</t>
  </si>
  <si>
    <t>Mortor bed for tile</t>
  </si>
  <si>
    <t>Add-on for tile backsplash installation</t>
  </si>
  <si>
    <t>Custom cabinets - base units</t>
  </si>
  <si>
    <t>Add for lazy susan</t>
  </si>
  <si>
    <t>Add for pullout trash bin</t>
  </si>
  <si>
    <t>Countertop - Granite or Marble - Includes backsplash pieces</t>
  </si>
  <si>
    <t>Add-on for undermount sink cutout &amp; polish - single basin</t>
  </si>
  <si>
    <t>Add-on granite or marble - edge treatment</t>
  </si>
  <si>
    <t>Final Cleaning - Construction - Residential</t>
  </si>
  <si>
    <t>Shelving - 24" - In place</t>
  </si>
  <si>
    <t>Seal &amp; paint wood shelving, 12" - 24" width</t>
  </si>
  <si>
    <t>Stain &amp; Finish bypass door set - slab only (per side)</t>
  </si>
  <si>
    <t>Vinyl Cove 4" wrap</t>
  </si>
  <si>
    <t>Floor preperation for resiliant flooring</t>
  </si>
  <si>
    <t>Vinyl tile</t>
  </si>
  <si>
    <t>Custom cabinets - wall units - 30"</t>
  </si>
  <si>
    <t>Cabinet knob or pull</t>
  </si>
  <si>
    <t>Kitchen sink - single basin</t>
  </si>
  <si>
    <t>Sink faucet - kitchen</t>
  </si>
  <si>
    <t>Garbage disposer</t>
  </si>
  <si>
    <t>Dishwasher</t>
  </si>
  <si>
    <t>Baseboard - 6"</t>
  </si>
  <si>
    <t>Seal &amp; paint baseboard, oversized - 2 coats</t>
  </si>
  <si>
    <t>Sheathing - plywood - 5/8" CDX</t>
  </si>
  <si>
    <t>Mortor bed for tile floors</t>
  </si>
  <si>
    <t>Travertine tile</t>
  </si>
  <si>
    <t>Install Range - Freestanding - electric</t>
  </si>
  <si>
    <t>Install Refrigerator - top freezer - 14 to 18 cf</t>
  </si>
  <si>
    <t>Sheathing - plywood - 5/8" CDX - Sheathing warped by water</t>
  </si>
  <si>
    <t>Tear off, haul and dispose rubber roofing - per adhered</t>
  </si>
  <si>
    <t>Insulation - urethane board, 1"</t>
  </si>
  <si>
    <t>Rubber roofing - fully adhered system - 45mil</t>
  </si>
  <si>
    <t>Flashing - L flashing - galvanized</t>
  </si>
  <si>
    <t>Detach &amp; Reset gutter / downspout - aluminum - up to 5"</t>
  </si>
  <si>
    <t>R&amp;R Drip Egde</t>
  </si>
  <si>
    <t>Seal/prime then paint the walls and ceiling (2 coats)</t>
  </si>
  <si>
    <t>Bifold door set - Colonist - Double</t>
  </si>
  <si>
    <t>Paint door or window opening - Large - 2 coats (per side)</t>
  </si>
  <si>
    <t>Carpet - metal transition strip</t>
  </si>
  <si>
    <t>Furring Strip - 1" x 2"</t>
  </si>
  <si>
    <t>Acoustic ceiling tile</t>
  </si>
  <si>
    <t>Fluorescent light fixture</t>
  </si>
  <si>
    <t>Paneling</t>
  </si>
  <si>
    <t>Wood window - awning, 7-12 sf</t>
  </si>
  <si>
    <t>Seal &amp; paint wood window (per side)</t>
  </si>
  <si>
    <t>Window Seat - hardwood bench tops</t>
  </si>
  <si>
    <t>Painter - per hour - stain bench tops</t>
  </si>
  <si>
    <t>2" x 4" x 10' #2 &amp; better fir/larch (material only)</t>
  </si>
  <si>
    <t>Carpenter - General framer - per hour</t>
  </si>
  <si>
    <t>Bypass (sliding) door set (lauan/mahogany)</t>
  </si>
  <si>
    <t>if found2</t>
  </si>
  <si>
    <t>frequency3</t>
  </si>
  <si>
    <t>searchable list4</t>
  </si>
  <si>
    <t>if found3</t>
  </si>
  <si>
    <t>frequency4</t>
  </si>
  <si>
    <t>searchable list5</t>
  </si>
  <si>
    <t>if found4</t>
  </si>
  <si>
    <t>frequency5</t>
  </si>
  <si>
    <t>searchable list6</t>
  </si>
  <si>
    <t>if found5</t>
  </si>
  <si>
    <t>frequency6</t>
  </si>
  <si>
    <t>searchable list7</t>
  </si>
  <si>
    <t>if found6</t>
  </si>
  <si>
    <t>frequency7</t>
  </si>
  <si>
    <t>searchable list8</t>
  </si>
  <si>
    <t>if found7</t>
  </si>
  <si>
    <t>frequency8</t>
  </si>
  <si>
    <t>searchable list9</t>
  </si>
  <si>
    <t>if found8</t>
  </si>
  <si>
    <t>frequency9</t>
  </si>
  <si>
    <t>searchable list10</t>
  </si>
  <si>
    <t>if found9</t>
  </si>
  <si>
    <t>frequency10</t>
  </si>
  <si>
    <t>searchable list11</t>
  </si>
  <si>
    <t>if found10</t>
  </si>
  <si>
    <t>frequency11</t>
  </si>
  <si>
    <t>searchable list12</t>
  </si>
  <si>
    <t>if found11</t>
  </si>
  <si>
    <t>frequency12</t>
  </si>
  <si>
    <t>searchable list13</t>
  </si>
  <si>
    <t>if found12</t>
  </si>
  <si>
    <t>frequency13</t>
  </si>
  <si>
    <t>searchable list14</t>
  </si>
  <si>
    <t>if found13</t>
  </si>
  <si>
    <t>frequency14</t>
  </si>
  <si>
    <t>searchable list15</t>
  </si>
  <si>
    <t>if found14</t>
  </si>
  <si>
    <t>frequency15</t>
  </si>
  <si>
    <t>searchable list16</t>
  </si>
  <si>
    <t>if found15</t>
  </si>
  <si>
    <t>frequency16</t>
  </si>
  <si>
    <t>searchable list17</t>
  </si>
  <si>
    <t>if found16</t>
  </si>
  <si>
    <t>frequency17</t>
  </si>
  <si>
    <t>searchable list18</t>
  </si>
  <si>
    <t>if found17</t>
  </si>
  <si>
    <t>frequency18</t>
  </si>
  <si>
    <t>searchable list19</t>
  </si>
  <si>
    <t>if found18</t>
  </si>
  <si>
    <t>frequency19</t>
  </si>
  <si>
    <t>searchable list20</t>
  </si>
  <si>
    <t>if found19</t>
  </si>
  <si>
    <t>frequency20</t>
  </si>
  <si>
    <t>searchable list21</t>
  </si>
  <si>
    <t>if found20</t>
  </si>
  <si>
    <t>frequency21</t>
  </si>
  <si>
    <t>searchable list22</t>
  </si>
  <si>
    <t>if found21</t>
  </si>
  <si>
    <t>frequency22</t>
  </si>
  <si>
    <t>searchable list23</t>
  </si>
  <si>
    <t>if found22</t>
  </si>
  <si>
    <t>frequency23</t>
  </si>
  <si>
    <t>searchable list24</t>
  </si>
  <si>
    <t>if found23</t>
  </si>
  <si>
    <t>frequency24</t>
  </si>
  <si>
    <t>searchable list25</t>
  </si>
  <si>
    <t>if found24</t>
  </si>
  <si>
    <t>frequency25</t>
  </si>
  <si>
    <t>searchable list26</t>
  </si>
  <si>
    <t>if found25</t>
  </si>
  <si>
    <t>frequency26</t>
  </si>
  <si>
    <t>searchable list27</t>
  </si>
  <si>
    <t>if found26</t>
  </si>
  <si>
    <t>frequency27</t>
  </si>
  <si>
    <t>searchable list28</t>
  </si>
  <si>
    <t>if found27</t>
  </si>
  <si>
    <t>frequency28</t>
  </si>
  <si>
    <t>searchable list29</t>
  </si>
  <si>
    <t>if found28</t>
  </si>
  <si>
    <t>frequency29</t>
  </si>
  <si>
    <t>searchable list30</t>
  </si>
  <si>
    <t>if found29</t>
  </si>
  <si>
    <t>frequency30</t>
  </si>
  <si>
    <t>searchable list31</t>
  </si>
  <si>
    <t>if found30</t>
  </si>
  <si>
    <t>frequency31</t>
  </si>
  <si>
    <t>searchable list32</t>
  </si>
  <si>
    <t>This is where the DESCRIPTION OF WORK goes</t>
  </si>
  <si>
    <r>
      <t>WORK TO BE DONE: Here</t>
    </r>
    <r>
      <rPr>
        <b/>
        <sz val="16"/>
        <color rgb="FFFF0000"/>
        <rFont val="Symbol"/>
        <family val="1"/>
        <charset val="2"/>
      </rPr>
      <t>®®®®®®</t>
    </r>
  </si>
  <si>
    <t>ryjtfyj</t>
  </si>
  <si>
    <t>2 for 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</si>
</sst>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8" formatCode="&quot;$&quot;#,##0.00_);[Red]\(&quot;$&quot;#,##0.00\)"/>
    <numFmt numFmtId="44" formatCode="_(&quot;$&quot;* #,##0.00_);_(&quot;$&quot;* \(#,##0.00\);_(&quot;$&quot;* &quot;-&quot;??_);_(@_)"/>
    <numFmt numFmtId="164" formatCode="&quot;$&quot;#,##0.00"/>
    <numFmt numFmtId="165" formatCode="[&lt;=9999999]###\-####;\(###\)\ ###\-####"/>
    <numFmt numFmtId="166" formatCode="&quot;$&quot;#,##0"/>
    <numFmt numFmtId="167" formatCode="_(&quot;$&quot;* #,##0.00_);_(&quot;$&quot;* \(#,##0.00\);_(&quot;$&quot;* &quot;-&quot;_);_(@_)"/>
    <numFmt numFmtId="168" formatCode="0.000%"/>
    <numFmt numFmtId="169" formatCode="&quot;$&quot;#,##0.000"/>
    <numFmt numFmtId="170" formatCode="[$-F800]dddd\,\ mmmm\ dd\,\ yyyy"/>
  </numFmts>
  <fonts count="48">
    <font>
      <sz val="11"/>
      <color theme="1"/>
      <name val="Calibri"/>
      <family val="2"/>
      <scheme val="minor"/>
    </font>
    <font>
      <b/>
      <sz val="11"/>
      <color theme="1"/>
      <name val="Calibri"/>
      <family val="2"/>
      <scheme val="minor"/>
    </font>
    <font>
      <sz val="10"/>
      <color theme="1"/>
      <name val="Calibri"/>
      <family val="2"/>
      <scheme val="minor"/>
    </font>
    <font>
      <sz val="26"/>
      <color theme="1"/>
      <name val="Gill Sans Ultra Bold"/>
      <family val="2"/>
    </font>
    <font>
      <sz val="9"/>
      <color theme="1"/>
      <name val="Arial Narrow"/>
      <family val="2"/>
    </font>
    <font>
      <sz val="10"/>
      <color theme="1"/>
      <name val="Arial"/>
      <family val="2"/>
    </font>
    <font>
      <sz val="8"/>
      <color theme="1"/>
      <name val="Arial Narrow"/>
      <family val="2"/>
    </font>
    <font>
      <b/>
      <sz val="13"/>
      <color theme="1"/>
      <name val="Arial"/>
      <family val="2"/>
    </font>
    <font>
      <b/>
      <sz val="8"/>
      <color theme="1"/>
      <name val="Arial Narrow"/>
      <family val="2"/>
    </font>
    <font>
      <sz val="8"/>
      <color theme="1"/>
      <name val="Calibri"/>
      <family val="2"/>
      <scheme val="minor"/>
    </font>
    <font>
      <sz val="7"/>
      <color theme="1"/>
      <name val="Arial Narrow"/>
      <family val="2"/>
    </font>
    <font>
      <b/>
      <sz val="7"/>
      <color theme="1"/>
      <name val="Arial Narrow"/>
      <family val="2"/>
    </font>
    <font>
      <b/>
      <u/>
      <sz val="7"/>
      <color theme="1"/>
      <name val="Arial Narrow"/>
      <family val="2"/>
    </font>
    <font>
      <u/>
      <sz val="7"/>
      <color theme="1"/>
      <name val="Arial Narrow"/>
      <family val="2"/>
    </font>
    <font>
      <sz val="22"/>
      <color theme="1"/>
      <name val="Calibri"/>
      <family val="2"/>
      <scheme val="minor"/>
    </font>
    <font>
      <sz val="11"/>
      <name val="Calibri"/>
      <family val="2"/>
      <scheme val="minor"/>
    </font>
    <font>
      <sz val="11"/>
      <color theme="1"/>
      <name val="Cambria"/>
      <family val="1"/>
      <scheme val="major"/>
    </font>
    <font>
      <u/>
      <sz val="11"/>
      <color theme="10"/>
      <name val="Calibri"/>
      <family val="2"/>
      <scheme val="minor"/>
    </font>
    <font>
      <sz val="10"/>
      <color theme="5"/>
      <name val="Calibri (Body)_x0000_"/>
    </font>
    <font>
      <sz val="11"/>
      <color theme="6" tint="-0.499984740745262"/>
      <name val="Calibri"/>
      <family val="2"/>
      <scheme val="minor"/>
    </font>
    <font>
      <b/>
      <sz val="15"/>
      <color theme="3"/>
      <name val="Calibri"/>
      <family val="2"/>
      <scheme val="minor"/>
    </font>
    <font>
      <sz val="10"/>
      <color theme="4" tint="-0.499984740745262"/>
      <name val="Corbel"/>
      <family val="2"/>
    </font>
    <font>
      <sz val="10"/>
      <color theme="0"/>
      <name val="Corbel"/>
      <family val="2"/>
    </font>
    <font>
      <sz val="24"/>
      <color theme="4" tint="-0.499984740745262"/>
      <name val="Cambria"/>
      <family val="4"/>
      <scheme val="major"/>
    </font>
    <font>
      <sz val="16"/>
      <color theme="4" tint="-0.499984740745262"/>
      <name val="Wingdings"/>
      <charset val="2"/>
    </font>
    <font>
      <sz val="12"/>
      <color theme="4" tint="-0.499984740745262"/>
      <name val="Times New Roman"/>
      <family val="1"/>
    </font>
    <font>
      <b/>
      <sz val="24"/>
      <color theme="3"/>
      <name val="Cambria"/>
      <family val="1"/>
      <scheme val="major"/>
    </font>
    <font>
      <sz val="12"/>
      <name val="Times New Roman"/>
      <family val="1"/>
    </font>
    <font>
      <b/>
      <sz val="12"/>
      <name val="Times New Roman"/>
      <family val="1"/>
    </font>
    <font>
      <b/>
      <sz val="12"/>
      <color theme="4" tint="-0.499984740745262"/>
      <name val="Times New Roman"/>
      <family val="1"/>
    </font>
    <font>
      <b/>
      <sz val="20"/>
      <color theme="1"/>
      <name val="Arial Black"/>
      <family val="2"/>
    </font>
    <font>
      <sz val="12"/>
      <name val="Cambria"/>
      <family val="1"/>
      <scheme val="major"/>
    </font>
    <font>
      <b/>
      <sz val="12"/>
      <name val="Cambria"/>
      <family val="1"/>
      <scheme val="major"/>
    </font>
    <font>
      <b/>
      <sz val="11"/>
      <color theme="4"/>
      <name val="Calibri"/>
      <family val="2"/>
      <scheme val="minor"/>
    </font>
    <font>
      <sz val="10"/>
      <name val="Calibri"/>
      <family val="2"/>
      <scheme val="minor"/>
    </font>
    <font>
      <sz val="11"/>
      <color theme="1"/>
      <name val="Calibri"/>
      <family val="2"/>
      <scheme val="minor"/>
    </font>
    <font>
      <sz val="22"/>
      <color rgb="FFFF0000"/>
      <name val="Calibri"/>
      <family val="2"/>
      <scheme val="minor"/>
    </font>
    <font>
      <sz val="12"/>
      <name val="Calibri"/>
      <family val="2"/>
      <scheme val="minor"/>
    </font>
    <font>
      <b/>
      <sz val="12"/>
      <color theme="4" tint="-0.499984740745262"/>
      <name val="Corbel"/>
      <family val="2"/>
    </font>
    <font>
      <sz val="10"/>
      <name val="Corbel"/>
      <family val="2"/>
    </font>
    <font>
      <sz val="10"/>
      <name val="Arial"/>
      <family val="2"/>
    </font>
    <font>
      <b/>
      <i/>
      <sz val="14"/>
      <name val="Cambria"/>
      <family val="1"/>
      <scheme val="major"/>
    </font>
    <font>
      <b/>
      <sz val="14"/>
      <name val="Symbol"/>
      <family val="1"/>
      <charset val="2"/>
    </font>
    <font>
      <sz val="8"/>
      <name val="Calibri"/>
      <family val="2"/>
      <scheme val="minor"/>
    </font>
    <font>
      <b/>
      <sz val="16"/>
      <color rgb="FFFF0000"/>
      <name val="Corbel"/>
      <family val="2"/>
    </font>
    <font>
      <b/>
      <sz val="16"/>
      <color rgb="FFFF0000"/>
      <name val="Symbol"/>
      <family val="1"/>
      <charset val="2"/>
    </font>
    <font>
      <sz val="12"/>
      <name val="Corbel"/>
      <family val="2"/>
    </font>
    <font>
      <sz val="22"/>
      <color theme="4" tint="-0.499984740745262"/>
      <name val="Cambria"/>
      <family val="4"/>
      <scheme val="major"/>
    </font>
  </fonts>
  <fills count="16">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0000"/>
        <bgColor indexed="64"/>
      </patternFill>
    </fill>
    <fill>
      <patternFill patternType="solid">
        <fgColor rgb="FFF3FEB4"/>
        <bgColor indexed="64"/>
      </patternFill>
    </fill>
    <fill>
      <patternFill patternType="solid">
        <fgColor theme="0" tint="-4.9989318521683403E-2"/>
        <bgColor indexed="64"/>
      </patternFill>
    </fill>
    <fill>
      <patternFill patternType="solid">
        <fgColor rgb="FFFFD08B"/>
        <bgColor indexed="64"/>
      </patternFill>
    </fill>
    <fill>
      <patternFill patternType="solid">
        <fgColor rgb="FF00FF00"/>
        <bgColor indexed="64"/>
      </patternFill>
    </fill>
    <fill>
      <patternFill patternType="solid">
        <fgColor theme="6" tint="0.39997558519241921"/>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ck">
        <color theme="4"/>
      </bottom>
      <diagonal/>
    </border>
    <border>
      <left style="thin">
        <color theme="8"/>
      </left>
      <right/>
      <top/>
      <bottom/>
      <diagonal/>
    </border>
  </borders>
  <cellStyleXfs count="7">
    <xf numFmtId="0" fontId="0" fillId="0" borderId="0"/>
    <xf numFmtId="0" fontId="17" fillId="0" borderId="0" applyNumberFormat="0" applyFill="0" applyBorder="0" applyAlignment="0" applyProtection="0"/>
    <xf numFmtId="0" fontId="20" fillId="0" borderId="14" applyNumberFormat="0" applyFill="0" applyAlignment="0" applyProtection="0"/>
    <xf numFmtId="0" fontId="21" fillId="0" borderId="0">
      <alignment wrapText="1"/>
    </xf>
    <xf numFmtId="0" fontId="23" fillId="0" borderId="0" applyNumberFormat="0" applyFill="0" applyBorder="0" applyAlignment="0" applyProtection="0"/>
    <xf numFmtId="44" fontId="35" fillId="0" borderId="0" applyFont="0" applyFill="0" applyBorder="0" applyAlignment="0" applyProtection="0"/>
    <xf numFmtId="9" fontId="35" fillId="0" borderId="0" applyFont="0" applyFill="0" applyBorder="0" applyAlignment="0" applyProtection="0"/>
  </cellStyleXfs>
  <cellXfs count="236">
    <xf numFmtId="0" fontId="0" fillId="0" borderId="0" xfId="0"/>
    <xf numFmtId="0" fontId="0" fillId="0" borderId="0" xfId="0" applyBorder="1"/>
    <xf numFmtId="0" fontId="0" fillId="0" borderId="0" xfId="0" applyBorder="1" applyProtection="1">
      <protection locked="0"/>
    </xf>
    <xf numFmtId="0" fontId="1" fillId="0" borderId="0" xfId="0" applyFont="1" applyBorder="1" applyAlignment="1" applyProtection="1">
      <protection locked="0"/>
    </xf>
    <xf numFmtId="164" fontId="0" fillId="0" borderId="0" xfId="0" applyNumberFormat="1" applyBorder="1" applyAlignment="1" applyProtection="1">
      <alignment horizontal="center"/>
      <protection locked="0"/>
    </xf>
    <xf numFmtId="0" fontId="6" fillId="0" borderId="0" xfId="0" applyFont="1" applyBorder="1"/>
    <xf numFmtId="0" fontId="9" fillId="0" borderId="0" xfId="0" applyFont="1" applyBorder="1"/>
    <xf numFmtId="8" fontId="0" fillId="0" borderId="0" xfId="0" applyNumberFormat="1"/>
    <xf numFmtId="0" fontId="0" fillId="2" borderId="0" xfId="0" applyFill="1"/>
    <xf numFmtId="164" fontId="0" fillId="0" borderId="0" xfId="0" applyNumberFormat="1"/>
    <xf numFmtId="0" fontId="0" fillId="4" borderId="0" xfId="0" applyFill="1"/>
    <xf numFmtId="164" fontId="0" fillId="2" borderId="0" xfId="0" applyNumberFormat="1" applyFill="1"/>
    <xf numFmtId="164" fontId="0" fillId="4" borderId="0" xfId="0" applyNumberFormat="1" applyFill="1"/>
    <xf numFmtId="0" fontId="0" fillId="4" borderId="0" xfId="0" applyFill="1" applyAlignment="1">
      <alignment vertical="justify"/>
    </xf>
    <xf numFmtId="164" fontId="0" fillId="4" borderId="0" xfId="0" applyNumberFormat="1" applyFill="1" applyAlignment="1">
      <alignment vertical="justify"/>
    </xf>
    <xf numFmtId="0" fontId="15" fillId="4" borderId="1" xfId="0" applyFont="1" applyFill="1" applyBorder="1" applyAlignment="1">
      <alignment horizontal="right" vertical="center"/>
    </xf>
    <xf numFmtId="164" fontId="15" fillId="4" borderId="1" xfId="0" applyNumberFormat="1" applyFont="1" applyFill="1" applyBorder="1" applyAlignment="1">
      <alignment horizontal="right" vertical="center"/>
    </xf>
    <xf numFmtId="0" fontId="0" fillId="4" borderId="1" xfId="0" applyFill="1" applyBorder="1" applyAlignment="1">
      <alignment horizontal="right" vertical="center"/>
    </xf>
    <xf numFmtId="164" fontId="0" fillId="4" borderId="1" xfId="0" applyNumberFormat="1" applyFill="1" applyBorder="1" applyAlignment="1">
      <alignment horizontal="right" vertical="center"/>
    </xf>
    <xf numFmtId="0" fontId="0" fillId="0" borderId="0" xfId="0" quotePrefix="1"/>
    <xf numFmtId="0" fontId="0" fillId="4" borderId="0" xfId="0" quotePrefix="1" applyFill="1" applyAlignment="1">
      <alignment horizontal="center" vertical="center"/>
    </xf>
    <xf numFmtId="0" fontId="17" fillId="0" borderId="0" xfId="1"/>
    <xf numFmtId="0" fontId="0" fillId="5" borderId="0" xfId="0" applyFill="1"/>
    <xf numFmtId="0" fontId="0" fillId="0" borderId="0" xfId="0" applyBorder="1" applyAlignment="1">
      <alignment horizontal="center"/>
    </xf>
    <xf numFmtId="0" fontId="1" fillId="0" borderId="0" xfId="0" applyFont="1" applyBorder="1" applyAlignment="1">
      <alignment horizontal="center"/>
    </xf>
    <xf numFmtId="164" fontId="0" fillId="2" borderId="0" xfId="0" applyNumberFormat="1" applyFill="1" applyAlignment="1">
      <alignment horizontal="left"/>
    </xf>
    <xf numFmtId="9" fontId="0" fillId="2" borderId="0" xfId="0" applyNumberFormat="1" applyFill="1"/>
    <xf numFmtId="166" fontId="0" fillId="4" borderId="0" xfId="0" applyNumberFormat="1" applyFill="1"/>
    <xf numFmtId="9" fontId="0" fillId="2" borderId="0" xfId="0" applyNumberFormat="1" applyFill="1" applyAlignment="1">
      <alignment horizontal="left"/>
    </xf>
    <xf numFmtId="164" fontId="15" fillId="4" borderId="1" xfId="0" quotePrefix="1" applyNumberFormat="1" applyFont="1" applyFill="1" applyBorder="1"/>
    <xf numFmtId="164" fontId="15" fillId="4" borderId="1" xfId="0" applyNumberFormat="1" applyFont="1" applyFill="1" applyBorder="1"/>
    <xf numFmtId="0" fontId="0" fillId="0" borderId="6" xfId="0" applyBorder="1"/>
    <xf numFmtId="0" fontId="2" fillId="0" borderId="11" xfId="0" applyFont="1" applyBorder="1" applyAlignment="1" applyProtection="1">
      <protection locked="0"/>
    </xf>
    <xf numFmtId="14" fontId="0" fillId="0" borderId="10" xfId="0" applyNumberFormat="1" applyBorder="1" applyAlignment="1" applyProtection="1">
      <protection locked="0"/>
    </xf>
    <xf numFmtId="14" fontId="0" fillId="0" borderId="12" xfId="0" applyNumberFormat="1" applyBorder="1" applyAlignment="1" applyProtection="1">
      <protection locked="0"/>
    </xf>
    <xf numFmtId="0" fontId="0" fillId="0" borderId="10" xfId="0" applyBorder="1" applyAlignment="1" applyProtection="1">
      <protection locked="0"/>
    </xf>
    <xf numFmtId="0" fontId="0" fillId="0" borderId="12" xfId="0" applyBorder="1" applyProtection="1">
      <protection locked="0"/>
    </xf>
    <xf numFmtId="0" fontId="0" fillId="0" borderId="8" xfId="0" applyBorder="1"/>
    <xf numFmtId="0" fontId="2" fillId="0" borderId="10" xfId="0" applyFont="1" applyBorder="1" applyAlignment="1" applyProtection="1">
      <protection locked="0"/>
    </xf>
    <xf numFmtId="0" fontId="1" fillId="0" borderId="10" xfId="0" applyFont="1" applyBorder="1" applyAlignment="1" applyProtection="1">
      <protection locked="0"/>
    </xf>
    <xf numFmtId="0" fontId="1" fillId="0" borderId="1" xfId="0" applyFont="1" applyBorder="1" applyAlignment="1">
      <alignment horizontal="center"/>
    </xf>
    <xf numFmtId="164" fontId="0" fillId="0" borderId="8" xfId="0" applyNumberFormat="1" applyBorder="1" applyAlignment="1" applyProtection="1">
      <alignment horizontal="center"/>
      <protection locked="0"/>
    </xf>
    <xf numFmtId="0" fontId="0" fillId="0" borderId="2" xfId="0" applyBorder="1" applyAlignment="1">
      <alignment horizontal="center"/>
    </xf>
    <xf numFmtId="164" fontId="0" fillId="0" borderId="8" xfId="0" applyNumberFormat="1" applyBorder="1"/>
    <xf numFmtId="0" fontId="12" fillId="0" borderId="2" xfId="0" applyFont="1" applyBorder="1"/>
    <xf numFmtId="0" fontId="9" fillId="0" borderId="8" xfId="0" applyFont="1" applyBorder="1"/>
    <xf numFmtId="0" fontId="8" fillId="0" borderId="3" xfId="0" applyFont="1" applyBorder="1" applyProtection="1">
      <protection locked="0"/>
    </xf>
    <xf numFmtId="0" fontId="9" fillId="0" borderId="4" xfId="0" applyFont="1" applyBorder="1"/>
    <xf numFmtId="0" fontId="9" fillId="0" borderId="9" xfId="0" applyFont="1" applyBorder="1"/>
    <xf numFmtId="0" fontId="9" fillId="0" borderId="13" xfId="0" applyFont="1" applyBorder="1"/>
    <xf numFmtId="165" fontId="0" fillId="0" borderId="12" xfId="0" applyNumberFormat="1" applyBorder="1" applyProtection="1">
      <protection locked="0"/>
    </xf>
    <xf numFmtId="0" fontId="0" fillId="0" borderId="12" xfId="0" applyBorder="1" applyAlignment="1" applyProtection="1">
      <protection locked="0"/>
    </xf>
    <xf numFmtId="165" fontId="0" fillId="0" borderId="0" xfId="0" applyNumberFormat="1" applyAlignment="1">
      <alignment horizontal="center" vertical="center"/>
    </xf>
    <xf numFmtId="165" fontId="0" fillId="0" borderId="0" xfId="0" applyNumberFormat="1"/>
    <xf numFmtId="0" fontId="14" fillId="3" borderId="0" xfId="0" applyFont="1" applyFill="1" applyAlignment="1">
      <alignment horizontal="center"/>
    </xf>
    <xf numFmtId="0" fontId="21" fillId="0" borderId="0" xfId="3" applyFill="1">
      <alignment wrapText="1"/>
    </xf>
    <xf numFmtId="0" fontId="23" fillId="0" borderId="0" xfId="4" applyAlignment="1">
      <alignment horizontal="left" vertical="center" indent="1"/>
    </xf>
    <xf numFmtId="0" fontId="22" fillId="0" borderId="0" xfId="3" applyFont="1" applyFill="1" applyAlignment="1"/>
    <xf numFmtId="0" fontId="24" fillId="0" borderId="0" xfId="3" applyFont="1" applyAlignment="1">
      <alignment horizontal="center" vertical="center" wrapText="1"/>
    </xf>
    <xf numFmtId="0" fontId="21" fillId="0" borderId="0" xfId="3" applyFill="1" applyAlignment="1">
      <alignment vertical="center" wrapText="1"/>
    </xf>
    <xf numFmtId="0" fontId="21" fillId="0" borderId="0" xfId="3" applyAlignment="1">
      <alignment vertical="center" wrapText="1"/>
    </xf>
    <xf numFmtId="0" fontId="22" fillId="0" borderId="0" xfId="3" applyFont="1" applyFill="1" applyAlignment="1">
      <alignment wrapText="1"/>
    </xf>
    <xf numFmtId="0" fontId="24" fillId="0" borderId="0" xfId="3" applyFont="1" applyFill="1" applyAlignment="1">
      <alignment horizontal="center" vertical="center" wrapText="1"/>
    </xf>
    <xf numFmtId="0" fontId="25" fillId="6" borderId="0" xfId="3" applyFont="1" applyFill="1" applyAlignment="1">
      <alignment vertical="center" wrapText="1"/>
    </xf>
    <xf numFmtId="0" fontId="25" fillId="7" borderId="0" xfId="3" applyFont="1" applyFill="1" applyAlignment="1">
      <alignment vertical="center" wrapText="1"/>
    </xf>
    <xf numFmtId="0" fontId="25" fillId="8" borderId="0" xfId="3" applyFont="1" applyFill="1" applyAlignment="1">
      <alignment vertical="center" wrapText="1"/>
    </xf>
    <xf numFmtId="0" fontId="26" fillId="0" borderId="0" xfId="2" applyFont="1" applyFill="1" applyBorder="1" applyAlignment="1"/>
    <xf numFmtId="0" fontId="22" fillId="0" borderId="0" xfId="3" applyFont="1" applyFill="1" applyAlignment="1">
      <alignment vertical="center"/>
    </xf>
    <xf numFmtId="0" fontId="21" fillId="0" borderId="0" xfId="3" applyFill="1" applyAlignment="1"/>
    <xf numFmtId="0" fontId="27" fillId="9" borderId="0" xfId="3" applyFont="1" applyFill="1">
      <alignment wrapText="1"/>
    </xf>
    <xf numFmtId="9" fontId="27" fillId="9" borderId="0" xfId="3" applyNumberFormat="1" applyFont="1" applyFill="1" applyAlignment="1">
      <alignment wrapText="1"/>
    </xf>
    <xf numFmtId="9" fontId="27" fillId="9" borderId="0" xfId="3" applyNumberFormat="1" applyFont="1" applyFill="1">
      <alignment wrapText="1"/>
    </xf>
    <xf numFmtId="164" fontId="0" fillId="4" borderId="0" xfId="0" applyNumberFormat="1" applyFill="1" applyBorder="1" applyAlignment="1">
      <alignment horizontal="right" vertical="center"/>
    </xf>
    <xf numFmtId="0" fontId="24" fillId="0" borderId="15" xfId="3" applyNumberFormat="1" applyFont="1" applyBorder="1" applyAlignment="1">
      <alignment horizontal="center" vertical="center" wrapText="1"/>
    </xf>
    <xf numFmtId="0" fontId="0" fillId="0" borderId="0" xfId="0" applyAlignment="1">
      <alignment horizontal="center" vertical="center"/>
    </xf>
    <xf numFmtId="0" fontId="0" fillId="0" borderId="2" xfId="0" applyBorder="1"/>
    <xf numFmtId="0" fontId="20" fillId="0" borderId="14" xfId="2" applyFill="1" applyAlignment="1">
      <alignment wrapText="1"/>
    </xf>
    <xf numFmtId="4" fontId="29" fillId="0" borderId="0" xfId="3" applyNumberFormat="1" applyFont="1" applyFill="1">
      <alignment wrapText="1"/>
    </xf>
    <xf numFmtId="0" fontId="21" fillId="6" borderId="0" xfId="3" applyFill="1">
      <alignment wrapText="1"/>
    </xf>
    <xf numFmtId="0" fontId="0" fillId="0" borderId="0" xfId="0" applyAlignment="1">
      <alignment horizontal="left"/>
    </xf>
    <xf numFmtId="0" fontId="25" fillId="11" borderId="0" xfId="3" applyFont="1" applyFill="1" applyAlignment="1">
      <alignment vertical="center" wrapText="1"/>
    </xf>
    <xf numFmtId="0" fontId="25" fillId="12" borderId="0" xfId="3" applyFont="1" applyFill="1" applyAlignment="1">
      <alignment vertical="center" wrapText="1"/>
    </xf>
    <xf numFmtId="0" fontId="0" fillId="11" borderId="0" xfId="0" applyFill="1"/>
    <xf numFmtId="0" fontId="0" fillId="13" borderId="0" xfId="0" applyFill="1"/>
    <xf numFmtId="0" fontId="25" fillId="13" borderId="0" xfId="3" applyFont="1" applyFill="1" applyAlignment="1">
      <alignment vertical="center" wrapText="1"/>
    </xf>
    <xf numFmtId="164" fontId="28" fillId="10" borderId="15" xfId="3" applyNumberFormat="1" applyFont="1" applyFill="1" applyBorder="1" applyAlignment="1">
      <alignment wrapText="1"/>
    </xf>
    <xf numFmtId="0" fontId="28" fillId="9" borderId="15" xfId="3" applyNumberFormat="1" applyFont="1" applyFill="1" applyBorder="1" applyAlignment="1">
      <alignment wrapText="1"/>
    </xf>
    <xf numFmtId="166" fontId="28" fillId="10" borderId="15" xfId="3" applyNumberFormat="1" applyFont="1" applyFill="1" applyBorder="1" applyAlignment="1"/>
    <xf numFmtId="164" fontId="27" fillId="10" borderId="0" xfId="3" applyNumberFormat="1" applyFont="1" applyFill="1">
      <alignment wrapText="1"/>
    </xf>
    <xf numFmtId="0" fontId="0" fillId="0" borderId="0" xfId="0" applyBorder="1" applyAlignment="1">
      <alignment wrapText="1"/>
    </xf>
    <xf numFmtId="0" fontId="0" fillId="0" borderId="5" xfId="0" applyBorder="1"/>
    <xf numFmtId="0" fontId="0" fillId="0" borderId="7" xfId="0" applyBorder="1"/>
    <xf numFmtId="0" fontId="1" fillId="0" borderId="2" xfId="0" applyFont="1" applyBorder="1" applyProtection="1">
      <protection locked="0"/>
    </xf>
    <xf numFmtId="0" fontId="1" fillId="0" borderId="2" xfId="0" applyFont="1" applyBorder="1" applyAlignment="1" applyProtection="1">
      <alignment horizontal="left" vertical="top"/>
      <protection locked="0"/>
    </xf>
    <xf numFmtId="0" fontId="0" fillId="0" borderId="8" xfId="0" applyBorder="1" applyProtection="1">
      <protection locked="0"/>
    </xf>
    <xf numFmtId="0" fontId="0" fillId="0" borderId="0" xfId="0" applyFill="1" applyAlignment="1"/>
    <xf numFmtId="164" fontId="32" fillId="10" borderId="15" xfId="3" applyNumberFormat="1" applyFont="1" applyFill="1" applyBorder="1" applyAlignment="1">
      <alignment wrapText="1"/>
    </xf>
    <xf numFmtId="0" fontId="31" fillId="9" borderId="0" xfId="3" applyFont="1" applyFill="1">
      <alignment wrapText="1"/>
    </xf>
    <xf numFmtId="9" fontId="0" fillId="0" borderId="0" xfId="0" applyNumberFormat="1"/>
    <xf numFmtId="10" fontId="0" fillId="2" borderId="0" xfId="0" applyNumberFormat="1" applyFill="1" applyAlignment="1">
      <alignment horizontal="left"/>
    </xf>
    <xf numFmtId="0" fontId="34" fillId="0" borderId="0" xfId="3" applyFont="1" applyFill="1" applyAlignment="1">
      <alignment vertical="center"/>
    </xf>
    <xf numFmtId="0" fontId="2" fillId="0" borderId="2" xfId="0" applyFont="1" applyBorder="1" applyAlignment="1" applyProtection="1">
      <protection locked="0"/>
    </xf>
    <xf numFmtId="0" fontId="2" fillId="0" borderId="0" xfId="0" applyFont="1" applyBorder="1" applyAlignment="1" applyProtection="1">
      <protection locked="0"/>
    </xf>
    <xf numFmtId="0" fontId="36" fillId="0" borderId="0" xfId="3" applyFont="1" applyFill="1" applyAlignment="1">
      <alignment vertical="center" wrapText="1"/>
    </xf>
    <xf numFmtId="0" fontId="37" fillId="0" borderId="0" xfId="3" applyFont="1" applyFill="1" applyAlignment="1">
      <alignment vertical="center" wrapText="1"/>
    </xf>
    <xf numFmtId="0" fontId="30" fillId="5" borderId="0" xfId="0" applyFont="1" applyFill="1" applyAlignment="1"/>
    <xf numFmtId="0" fontId="0" fillId="5" borderId="0" xfId="0" applyFill="1" applyAlignment="1"/>
    <xf numFmtId="0" fontId="31" fillId="7" borderId="0" xfId="3" applyFont="1" applyFill="1" applyAlignment="1" applyProtection="1">
      <alignment vertical="center" wrapText="1"/>
      <protection locked="0"/>
    </xf>
    <xf numFmtId="0" fontId="27" fillId="7" borderId="0" xfId="3" applyFont="1" applyFill="1" applyAlignment="1" applyProtection="1">
      <alignment wrapText="1"/>
      <protection locked="0"/>
    </xf>
    <xf numFmtId="0" fontId="27" fillId="7" borderId="0" xfId="3" applyFont="1" applyFill="1" applyProtection="1">
      <alignment wrapText="1"/>
      <protection locked="0"/>
    </xf>
    <xf numFmtId="0" fontId="31" fillId="12" borderId="0" xfId="3" applyFont="1" applyFill="1" applyAlignment="1" applyProtection="1">
      <alignment vertical="center" wrapText="1"/>
      <protection locked="0"/>
    </xf>
    <xf numFmtId="0" fontId="31" fillId="8" borderId="0" xfId="3" applyFont="1" applyFill="1" applyAlignment="1" applyProtection="1">
      <alignment vertical="center" wrapText="1"/>
      <protection locked="0"/>
    </xf>
    <xf numFmtId="0" fontId="27" fillId="8" borderId="0" xfId="3" applyFont="1" applyFill="1" applyProtection="1">
      <alignment wrapText="1"/>
      <protection locked="0"/>
    </xf>
    <xf numFmtId="164" fontId="28" fillId="8" borderId="15" xfId="3" applyNumberFormat="1" applyFont="1" applyFill="1" applyBorder="1" applyAlignment="1" applyProtection="1">
      <alignment wrapText="1"/>
      <protection locked="0"/>
    </xf>
    <xf numFmtId="0" fontId="31" fillId="8" borderId="0" xfId="3" applyFont="1" applyFill="1" applyProtection="1">
      <alignment wrapText="1"/>
      <protection locked="0"/>
    </xf>
    <xf numFmtId="0" fontId="31" fillId="11" borderId="0" xfId="3" applyFont="1" applyFill="1" applyAlignment="1" applyProtection="1">
      <alignment vertical="center" wrapText="1"/>
      <protection locked="0"/>
    </xf>
    <xf numFmtId="0" fontId="31" fillId="13" borderId="0" xfId="3" applyFont="1" applyFill="1" applyAlignment="1" applyProtection="1">
      <alignment vertical="center" wrapText="1"/>
      <protection locked="0"/>
    </xf>
    <xf numFmtId="0" fontId="31" fillId="6" borderId="0" xfId="3" applyFont="1" applyFill="1" applyAlignment="1" applyProtection="1">
      <alignment vertical="center" wrapText="1"/>
      <protection locked="0"/>
    </xf>
    <xf numFmtId="0" fontId="24" fillId="0" borderId="0" xfId="3" applyFont="1" applyAlignment="1" applyProtection="1">
      <alignment horizontal="center" vertical="center" wrapText="1"/>
      <protection locked="0"/>
    </xf>
    <xf numFmtId="0" fontId="38" fillId="14" borderId="0" xfId="3" applyFont="1" applyFill="1" applyProtection="1">
      <alignment wrapText="1"/>
      <protection locked="0"/>
    </xf>
    <xf numFmtId="166" fontId="38" fillId="14" borderId="0" xfId="3" applyNumberFormat="1" applyFont="1" applyFill="1" applyProtection="1">
      <alignment wrapText="1"/>
      <protection locked="0"/>
    </xf>
    <xf numFmtId="0" fontId="38" fillId="14" borderId="0" xfId="3" applyFont="1" applyFill="1" applyAlignment="1" applyProtection="1">
      <alignment vertical="center" wrapText="1"/>
      <protection locked="0"/>
    </xf>
    <xf numFmtId="164" fontId="0" fillId="0" borderId="1" xfId="0" applyNumberFormat="1" applyBorder="1"/>
    <xf numFmtId="0" fontId="0" fillId="0" borderId="0" xfId="0" applyNumberFormat="1"/>
    <xf numFmtId="4" fontId="28" fillId="0" borderId="0" xfId="3" applyNumberFormat="1" applyFont="1" applyFill="1" applyAlignment="1">
      <alignment vertical="center"/>
    </xf>
    <xf numFmtId="0" fontId="39" fillId="0" borderId="0" xfId="3" applyFont="1" applyFill="1" applyAlignment="1">
      <alignment vertical="center"/>
    </xf>
    <xf numFmtId="4" fontId="28" fillId="0" borderId="0" xfId="3" applyNumberFormat="1" applyFont="1" applyFill="1">
      <alignment wrapText="1"/>
    </xf>
    <xf numFmtId="0" fontId="39" fillId="0" borderId="0" xfId="3" applyFont="1" applyFill="1">
      <alignment wrapText="1"/>
    </xf>
    <xf numFmtId="0" fontId="5" fillId="0" borderId="3" xfId="0" applyFont="1" applyBorder="1" applyProtection="1">
      <protection locked="0"/>
    </xf>
    <xf numFmtId="0" fontId="0" fillId="0" borderId="4" xfId="0" applyBorder="1"/>
    <xf numFmtId="0" fontId="6" fillId="0" borderId="4" xfId="0" applyFont="1" applyBorder="1"/>
    <xf numFmtId="0" fontId="0" fillId="0" borderId="9" xfId="0" applyBorder="1"/>
    <xf numFmtId="9" fontId="0" fillId="0" borderId="0" xfId="6" applyFont="1"/>
    <xf numFmtId="0" fontId="0" fillId="4" borderId="0" xfId="0" applyFill="1" applyAlignment="1">
      <alignment horizontal="left" vertical="justify"/>
    </xf>
    <xf numFmtId="164" fontId="0" fillId="5" borderId="0" xfId="0" applyNumberFormat="1" applyFill="1"/>
    <xf numFmtId="0" fontId="40" fillId="0" borderId="0" xfId="0" applyFont="1"/>
    <xf numFmtId="168" fontId="40" fillId="0" borderId="0" xfId="0" applyNumberFormat="1" applyFont="1"/>
    <xf numFmtId="168" fontId="0" fillId="0" borderId="0" xfId="0" applyNumberFormat="1"/>
    <xf numFmtId="0" fontId="0" fillId="5" borderId="0" xfId="0" applyFill="1" applyAlignment="1">
      <alignment horizontal="right"/>
    </xf>
    <xf numFmtId="168" fontId="0" fillId="5" borderId="0" xfId="6" applyNumberFormat="1" applyFont="1" applyFill="1"/>
    <xf numFmtId="9" fontId="38" fillId="14" borderId="0" xfId="6" applyNumberFormat="1" applyFont="1" applyFill="1" applyAlignment="1" applyProtection="1">
      <alignment wrapText="1"/>
      <protection locked="0"/>
    </xf>
    <xf numFmtId="164" fontId="1" fillId="0" borderId="0" xfId="0" applyNumberFormat="1" applyFont="1" applyBorder="1" applyAlignment="1" applyProtection="1">
      <alignment horizontal="right"/>
      <protection locked="0"/>
    </xf>
    <xf numFmtId="0" fontId="39" fillId="14" borderId="0" xfId="3" applyFont="1" applyFill="1" applyAlignment="1" applyProtection="1">
      <alignment vertical="center"/>
      <protection locked="0"/>
    </xf>
    <xf numFmtId="168" fontId="39" fillId="14" borderId="0" xfId="3" applyNumberFormat="1" applyFont="1" applyFill="1" applyAlignment="1" applyProtection="1">
      <alignment vertical="center"/>
      <protection locked="0"/>
    </xf>
    <xf numFmtId="0" fontId="41" fillId="10" borderId="0" xfId="3" applyFont="1" applyFill="1" applyAlignment="1" applyProtection="1"/>
    <xf numFmtId="0" fontId="25" fillId="15" borderId="0" xfId="3" applyFont="1" applyFill="1" applyAlignment="1">
      <alignment vertical="center" wrapText="1"/>
    </xf>
    <xf numFmtId="0" fontId="31" fillId="15" borderId="0" xfId="3" applyFont="1" applyFill="1" applyAlignment="1" applyProtection="1">
      <alignment vertical="center" wrapText="1"/>
      <protection locked="0"/>
    </xf>
    <xf numFmtId="0" fontId="27" fillId="15" borderId="0" xfId="3" applyFont="1" applyFill="1" applyProtection="1">
      <alignment wrapText="1"/>
      <protection locked="0"/>
    </xf>
    <xf numFmtId="164" fontId="28" fillId="15" borderId="15" xfId="3" applyNumberFormat="1" applyFont="1" applyFill="1" applyBorder="1" applyAlignment="1" applyProtection="1">
      <alignment wrapText="1"/>
      <protection locked="0"/>
    </xf>
    <xf numFmtId="164" fontId="39" fillId="0" borderId="0" xfId="3" applyNumberFormat="1" applyFont="1" applyFill="1" applyAlignment="1">
      <alignment vertical="center"/>
    </xf>
    <xf numFmtId="166" fontId="0" fillId="4" borderId="0" xfId="5" applyNumberFormat="1" applyFont="1" applyFill="1"/>
    <xf numFmtId="9" fontId="28" fillId="6" borderId="0" xfId="3" applyNumberFormat="1" applyFont="1" applyFill="1" applyAlignment="1" applyProtection="1">
      <protection locked="0"/>
    </xf>
    <xf numFmtId="9" fontId="28" fillId="6" borderId="0" xfId="3" applyNumberFormat="1" applyFont="1" applyFill="1" applyProtection="1">
      <alignment wrapText="1"/>
      <protection locked="0"/>
    </xf>
    <xf numFmtId="9" fontId="28" fillId="6" borderId="0" xfId="3" applyNumberFormat="1" applyFont="1" applyFill="1" applyAlignment="1" applyProtection="1">
      <alignment wrapText="1"/>
      <protection locked="0"/>
    </xf>
    <xf numFmtId="9" fontId="32" fillId="10" borderId="0" xfId="3" quotePrefix="1" applyNumberFormat="1" applyFont="1" applyFill="1" applyAlignment="1">
      <alignment wrapText="1"/>
    </xf>
    <xf numFmtId="44" fontId="0" fillId="0" borderId="8" xfId="5" applyFont="1" applyBorder="1" applyAlignment="1">
      <alignment vertical="center"/>
    </xf>
    <xf numFmtId="4" fontId="26" fillId="0" borderId="0" xfId="2" applyNumberFormat="1" applyFont="1" applyFill="1" applyBorder="1" applyAlignment="1"/>
    <xf numFmtId="14" fontId="0" fillId="0" borderId="0" xfId="0" applyNumberFormat="1"/>
    <xf numFmtId="170" fontId="0" fillId="0" borderId="0" xfId="0" applyNumberFormat="1"/>
    <xf numFmtId="0" fontId="44" fillId="0" borderId="0" xfId="3" applyFont="1" applyFill="1" applyAlignment="1">
      <alignment vertical="center" wrapText="1"/>
    </xf>
    <xf numFmtId="0" fontId="22" fillId="0" borderId="0" xfId="3" applyFont="1" applyFill="1" applyAlignment="1">
      <alignment horizontal="center" vertical="center"/>
    </xf>
    <xf numFmtId="0" fontId="2" fillId="0" borderId="2" xfId="0" applyFont="1" applyBorder="1" applyAlignment="1" applyProtection="1">
      <alignment horizontal="left" indent="4"/>
      <protection locked="0"/>
    </xf>
    <xf numFmtId="0" fontId="2" fillId="0" borderId="0" xfId="0" applyFont="1" applyBorder="1" applyAlignment="1" applyProtection="1">
      <alignment horizontal="left" indent="4"/>
      <protection locked="0"/>
    </xf>
    <xf numFmtId="0" fontId="0" fillId="0" borderId="10" xfId="0" applyBorder="1" applyAlignment="1" applyProtection="1">
      <alignment horizontal="center"/>
      <protection locked="0"/>
    </xf>
    <xf numFmtId="0" fontId="0" fillId="0" borderId="12" xfId="0" applyBorder="1" applyAlignment="1" applyProtection="1">
      <alignment horizontal="center"/>
      <protection locked="0"/>
    </xf>
    <xf numFmtId="0" fontId="2" fillId="0" borderId="11"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3" fillId="0" borderId="10" xfId="0" applyFont="1" applyBorder="1" applyAlignment="1">
      <alignment horizontal="center" vertical="top"/>
    </xf>
    <xf numFmtId="0" fontId="3" fillId="0" borderId="12" xfId="0" applyFont="1" applyBorder="1" applyAlignment="1">
      <alignment horizontal="center" vertical="top"/>
    </xf>
    <xf numFmtId="0" fontId="1" fillId="0" borderId="0" xfId="0" applyFont="1" applyBorder="1" applyAlignment="1" applyProtection="1">
      <alignment horizontal="left" vertical="top"/>
      <protection locked="0"/>
    </xf>
    <xf numFmtId="0" fontId="0" fillId="0" borderId="2" xfId="0" applyBorder="1" applyAlignment="1" applyProtection="1">
      <alignment horizontal="center"/>
      <protection locked="0"/>
    </xf>
    <xf numFmtId="0" fontId="0" fillId="0" borderId="0" xfId="0" applyBorder="1" applyAlignment="1" applyProtection="1">
      <alignment horizontal="center"/>
      <protection locked="0"/>
    </xf>
    <xf numFmtId="0" fontId="1" fillId="0" borderId="11" xfId="0" applyFont="1" applyBorder="1" applyAlignment="1">
      <alignment horizontal="left"/>
    </xf>
    <xf numFmtId="0" fontId="1" fillId="0" borderId="10" xfId="0" applyFont="1" applyBorder="1" applyAlignment="1">
      <alignment horizontal="left"/>
    </xf>
    <xf numFmtId="0" fontId="1" fillId="0" borderId="12" xfId="0" applyFont="1" applyBorder="1" applyAlignment="1">
      <alignment horizontal="left"/>
    </xf>
    <xf numFmtId="0" fontId="18" fillId="0" borderId="2" xfId="0" applyFont="1" applyBorder="1" applyAlignment="1" applyProtection="1">
      <protection locked="0"/>
    </xf>
    <xf numFmtId="0" fontId="18" fillId="0" borderId="0" xfId="0" applyFont="1" applyBorder="1" applyAlignment="1" applyProtection="1">
      <protection locked="0"/>
    </xf>
    <xf numFmtId="0" fontId="19" fillId="0" borderId="2" xfId="0" applyFont="1" applyBorder="1" applyAlignment="1">
      <alignment horizontal="left" indent="3"/>
    </xf>
    <xf numFmtId="0" fontId="19" fillId="0" borderId="0" xfId="0" applyFont="1" applyBorder="1" applyAlignment="1">
      <alignment horizontal="left" indent="3"/>
    </xf>
    <xf numFmtId="0" fontId="2" fillId="0" borderId="2" xfId="0" applyFont="1" applyBorder="1" applyAlignment="1" applyProtection="1">
      <protection locked="0"/>
    </xf>
    <xf numFmtId="0" fontId="2" fillId="0" borderId="0" xfId="0" applyFont="1" applyBorder="1" applyAlignment="1" applyProtection="1">
      <protection locked="0"/>
    </xf>
    <xf numFmtId="0" fontId="33" fillId="0" borderId="2" xfId="0" applyFont="1" applyBorder="1" applyAlignment="1" applyProtection="1">
      <protection locked="0"/>
    </xf>
    <xf numFmtId="0" fontId="33" fillId="0" borderId="0" xfId="0" applyFont="1" applyBorder="1" applyAlignment="1" applyProtection="1">
      <protection locked="0"/>
    </xf>
    <xf numFmtId="0" fontId="7" fillId="0" borderId="5" xfId="0" applyFont="1" applyBorder="1" applyAlignment="1">
      <alignment horizontal="center" vertical="center"/>
    </xf>
    <xf numFmtId="0" fontId="7" fillId="0" borderId="6"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4" fillId="0" borderId="6" xfId="0" applyFont="1" applyBorder="1" applyAlignment="1">
      <alignment horizontal="left" vertical="center" wrapText="1"/>
    </xf>
    <xf numFmtId="0" fontId="4" fillId="0" borderId="4" xfId="0" applyFont="1" applyBorder="1" applyAlignment="1">
      <alignment horizontal="left" vertical="center" wrapText="1"/>
    </xf>
    <xf numFmtId="0" fontId="0" fillId="0" borderId="11" xfId="0" applyBorder="1" applyAlignment="1">
      <alignment horizontal="center"/>
    </xf>
    <xf numFmtId="0" fontId="0" fillId="0" borderId="10" xfId="0" applyBorder="1" applyAlignment="1">
      <alignment horizontal="center"/>
    </xf>
    <xf numFmtId="0" fontId="1" fillId="0" borderId="10" xfId="0" applyFont="1" applyBorder="1" applyAlignment="1">
      <alignment horizontal="right"/>
    </xf>
    <xf numFmtId="0" fontId="1" fillId="0" borderId="12" xfId="0" applyFont="1" applyBorder="1" applyAlignment="1">
      <alignment horizontal="right"/>
    </xf>
    <xf numFmtId="0" fontId="10" fillId="0" borderId="2" xfId="0" applyFont="1" applyBorder="1" applyAlignment="1">
      <alignment vertical="center" wrapText="1"/>
    </xf>
    <xf numFmtId="0" fontId="10" fillId="0" borderId="0" xfId="0" applyFont="1" applyBorder="1" applyAlignment="1">
      <alignment vertical="center" wrapText="1"/>
    </xf>
    <xf numFmtId="0" fontId="10" fillId="0" borderId="8" xfId="0" applyFont="1" applyBorder="1" applyAlignment="1">
      <alignment vertical="center" wrapText="1"/>
    </xf>
    <xf numFmtId="0" fontId="11" fillId="0" borderId="2" xfId="0" applyFont="1" applyBorder="1" applyAlignment="1">
      <alignment horizontal="left" wrapText="1"/>
    </xf>
    <xf numFmtId="0" fontId="11" fillId="0" borderId="0" xfId="0" applyFont="1" applyBorder="1" applyAlignment="1">
      <alignment horizontal="left" wrapText="1"/>
    </xf>
    <xf numFmtId="0" fontId="11" fillId="0" borderId="8" xfId="0" applyFont="1" applyBorder="1" applyAlignment="1">
      <alignment horizontal="left" wrapText="1"/>
    </xf>
    <xf numFmtId="0" fontId="0" fillId="0" borderId="0" xfId="0" applyAlignment="1">
      <alignment horizontal="center"/>
    </xf>
    <xf numFmtId="167" fontId="0" fillId="0" borderId="0" xfId="0" applyNumberFormat="1" applyAlignment="1">
      <alignment horizontal="center" vertical="center"/>
    </xf>
    <xf numFmtId="44" fontId="0" fillId="0" borderId="0" xfId="5" applyFont="1" applyFill="1" applyAlignment="1">
      <alignment horizontal="center"/>
    </xf>
    <xf numFmtId="44" fontId="0" fillId="0" borderId="0" xfId="5" applyNumberFormat="1" applyFont="1" applyAlignment="1">
      <alignment horizontal="center" vertical="center"/>
    </xf>
    <xf numFmtId="44" fontId="0" fillId="0" borderId="0" xfId="5" applyFont="1" applyAlignment="1">
      <alignment horizontal="center"/>
    </xf>
    <xf numFmtId="0" fontId="14" fillId="3" borderId="0" xfId="0" applyFont="1" applyFill="1" applyAlignment="1">
      <alignment horizontal="center"/>
    </xf>
    <xf numFmtId="0" fontId="0" fillId="4" borderId="0" xfId="0" applyFill="1" applyAlignment="1">
      <alignment horizontal="center"/>
    </xf>
    <xf numFmtId="0" fontId="30" fillId="0" borderId="0" xfId="0" applyFont="1" applyAlignment="1">
      <alignment horizontal="center"/>
    </xf>
    <xf numFmtId="166" fontId="0" fillId="0" borderId="0" xfId="0" applyNumberFormat="1" applyAlignment="1">
      <alignment horizontal="center"/>
    </xf>
    <xf numFmtId="9" fontId="0" fillId="0" borderId="0" xfId="6" applyFont="1" applyAlignment="1">
      <alignment horizontal="center"/>
    </xf>
    <xf numFmtId="10" fontId="0" fillId="0" borderId="0" xfId="0" applyNumberFormat="1" applyAlignment="1">
      <alignment horizontal="center"/>
    </xf>
    <xf numFmtId="0" fontId="0" fillId="2" borderId="0" xfId="0" quotePrefix="1" applyFill="1" applyAlignment="1">
      <alignment horizontal="left" vertical="center"/>
    </xf>
    <xf numFmtId="0" fontId="0" fillId="2" borderId="4" xfId="0" quotePrefix="1" applyFill="1" applyBorder="1" applyAlignment="1">
      <alignment horizontal="center" vertical="center"/>
    </xf>
    <xf numFmtId="0" fontId="16" fillId="4" borderId="5" xfId="0" applyFont="1" applyFill="1" applyBorder="1" applyAlignment="1">
      <alignment horizontal="left" vertical="top"/>
    </xf>
    <xf numFmtId="0" fontId="16" fillId="4" borderId="6" xfId="0" applyFont="1" applyFill="1" applyBorder="1" applyAlignment="1">
      <alignment horizontal="left" vertical="top"/>
    </xf>
    <xf numFmtId="0" fontId="16" fillId="4" borderId="7" xfId="0" applyFont="1" applyFill="1" applyBorder="1" applyAlignment="1">
      <alignment horizontal="left" vertical="top"/>
    </xf>
    <xf numFmtId="0" fontId="16" fillId="4" borderId="2" xfId="0" applyFont="1" applyFill="1" applyBorder="1" applyAlignment="1">
      <alignment horizontal="left" vertical="top"/>
    </xf>
    <xf numFmtId="0" fontId="16" fillId="4" borderId="0" xfId="0" applyFont="1" applyFill="1" applyBorder="1" applyAlignment="1">
      <alignment horizontal="left" vertical="top"/>
    </xf>
    <xf numFmtId="0" fontId="16" fillId="4" borderId="8" xfId="0" applyFont="1" applyFill="1" applyBorder="1" applyAlignment="1">
      <alignment horizontal="left" vertical="top"/>
    </xf>
    <xf numFmtId="0" fontId="16" fillId="4" borderId="3" xfId="0" applyFont="1" applyFill="1" applyBorder="1" applyAlignment="1">
      <alignment horizontal="left" vertical="top"/>
    </xf>
    <xf numFmtId="0" fontId="16" fillId="4" borderId="4" xfId="0" applyFont="1" applyFill="1" applyBorder="1" applyAlignment="1">
      <alignment horizontal="left" vertical="top"/>
    </xf>
    <xf numFmtId="0" fontId="16" fillId="4" borderId="9" xfId="0" applyFont="1" applyFill="1" applyBorder="1" applyAlignment="1">
      <alignment horizontal="left" vertical="top"/>
    </xf>
    <xf numFmtId="0" fontId="0" fillId="2" borderId="5" xfId="0" quotePrefix="1" applyFill="1" applyBorder="1" applyAlignment="1">
      <alignment horizontal="center" vertical="center"/>
    </xf>
    <xf numFmtId="0" fontId="0" fillId="2" borderId="7" xfId="0" quotePrefix="1" applyFill="1" applyBorder="1" applyAlignment="1">
      <alignment horizontal="center" vertical="center"/>
    </xf>
    <xf numFmtId="0" fontId="0" fillId="2" borderId="3" xfId="0" quotePrefix="1" applyFill="1" applyBorder="1" applyAlignment="1">
      <alignment horizontal="center" vertical="center"/>
    </xf>
    <xf numFmtId="0" fontId="0" fillId="2" borderId="9" xfId="0" quotePrefix="1" applyFill="1" applyBorder="1" applyAlignment="1">
      <alignment horizontal="center" vertical="center"/>
    </xf>
    <xf numFmtId="0" fontId="16" fillId="4" borderId="0" xfId="0" applyFont="1" applyFill="1" applyAlignment="1">
      <alignment horizontal="left" vertical="justify"/>
    </xf>
    <xf numFmtId="165" fontId="16" fillId="4" borderId="0" xfId="0" applyNumberFormat="1" applyFont="1" applyFill="1" applyAlignment="1">
      <alignment horizontal="center"/>
    </xf>
    <xf numFmtId="0" fontId="16" fillId="4" borderId="4" xfId="0" applyFont="1" applyFill="1" applyBorder="1" applyAlignment="1">
      <alignment horizontal="center"/>
    </xf>
    <xf numFmtId="0" fontId="46" fillId="14" borderId="0" xfId="3" applyFont="1" applyFill="1" applyAlignment="1">
      <alignment horizontal="left" vertical="top" wrapText="1"/>
    </xf>
    <xf numFmtId="0" fontId="22" fillId="14" borderId="0" xfId="3" applyFont="1" applyFill="1" applyAlignment="1">
      <alignment horizontal="left" vertical="top" wrapText="1"/>
    </xf>
    <xf numFmtId="164" fontId="0" fillId="0" borderId="6" xfId="0" applyNumberFormat="1" applyBorder="1" applyAlignment="1" applyProtection="1">
      <alignment horizontal="justify" vertical="justify"/>
      <protection locked="0"/>
    </xf>
    <xf numFmtId="169" fontId="0" fillId="0" borderId="7" xfId="5" applyNumberFormat="1" applyFont="1" applyBorder="1" applyAlignment="1" applyProtection="1">
      <alignment horizontal="justify" vertical="justify"/>
      <protection locked="0"/>
    </xf>
    <xf numFmtId="0" fontId="0" fillId="0" borderId="0" xfId="0" applyAlignment="1">
      <alignment horizontal="justify" vertical="justify"/>
    </xf>
    <xf numFmtId="0" fontId="18" fillId="0" borderId="5" xfId="0" applyNumberFormat="1" applyFont="1" applyBorder="1" applyAlignment="1" applyProtection="1">
      <alignment horizontal="left" vertical="top" wrapText="1"/>
      <protection locked="0"/>
    </xf>
    <xf numFmtId="0" fontId="18" fillId="0" borderId="6" xfId="0" applyNumberFormat="1" applyFont="1" applyBorder="1" applyAlignment="1" applyProtection="1">
      <alignment horizontal="left" vertical="top" wrapText="1"/>
      <protection locked="0"/>
    </xf>
    <xf numFmtId="0" fontId="47" fillId="0" borderId="0" xfId="4" applyFont="1" applyAlignment="1">
      <alignment horizontal="left" vertical="center" indent="1"/>
    </xf>
  </cellXfs>
  <cellStyles count="7">
    <cellStyle name="Currency" xfId="5" builtinId="4"/>
    <cellStyle name="Heading 1" xfId="2" builtinId="16"/>
    <cellStyle name="Heading 1 2" xfId="4" xr:uid="{FDF437E4-09B9-46CD-A710-8E6B6E0DA41A}"/>
    <cellStyle name="Hyperlink" xfId="1" builtinId="8"/>
    <cellStyle name="Normal" xfId="0" builtinId="0"/>
    <cellStyle name="Normal 2" xfId="3" xr:uid="{2E17350D-5CF5-462F-B28B-9A4B67055DB7}"/>
    <cellStyle name="Percent" xfId="6" builtinId="5"/>
  </cellStyles>
  <dxfs count="58">
    <dxf>
      <numFmt numFmtId="170" formatCode="[$-F800]dddd\,\ mmmm\ dd\,\ yyyy"/>
    </dxf>
    <dxf>
      <numFmt numFmtId="168" formatCode="0.000%"/>
    </dxf>
    <dxf>
      <numFmt numFmtId="0" formatCode="General"/>
    </dxf>
    <dxf>
      <numFmt numFmtId="0" formatCode="General"/>
    </dxf>
    <dxf>
      <numFmt numFmtId="165" formatCode="[&lt;=9999999]###\-####;\(###\)\ ###\-####"/>
      <alignment horizontal="center" vertical="center" textRotation="0" wrapText="0" indent="0" justifyLastLine="0" shrinkToFit="0" readingOrder="0"/>
    </dxf>
    <dxf>
      <numFmt numFmtId="165" formatCode="[&lt;=9999999]###\-####;\(###\)\ ###\-####"/>
      <alignment horizontal="center" vertical="center" textRotation="0" wrapText="0" indent="0" justifyLastLine="0" shrinkToFit="0" readingOrder="0"/>
    </dxf>
    <dxf>
      <numFmt numFmtId="0" formatCode="General"/>
    </dxf>
    <dxf>
      <numFmt numFmtId="164" formatCode="&quot;$&quot;#,##0.00"/>
    </dxf>
    <dxf>
      <fill>
        <patternFill patternType="solid">
          <fgColor indexed="64"/>
          <bgColor theme="0" tint="-0.14999847407452621"/>
        </patternFill>
      </fill>
    </dxf>
    <dxf>
      <fill>
        <patternFill patternType="solid">
          <fgColor indexed="64"/>
          <bgColor rgb="FF92D050"/>
        </patternFill>
      </fill>
    </dxf>
    <dxf>
      <numFmt numFmtId="164" formatCode="&quot;$&quot;#,##0.00"/>
      <fill>
        <patternFill patternType="solid">
          <fgColor indexed="64"/>
          <bgColor rgb="FF92D050"/>
        </patternFill>
      </fill>
    </dxf>
    <dxf>
      <fill>
        <patternFill patternType="solid">
          <fgColor indexed="64"/>
          <bgColor rgb="FF92D050"/>
        </patternFill>
      </fill>
    </dxf>
    <dxf>
      <fill>
        <patternFill patternType="solid">
          <fgColor indexed="64"/>
          <bgColor theme="0" tint="-0.14999847407452621"/>
        </patternFill>
      </fill>
    </dxf>
    <dxf>
      <numFmt numFmtId="164" formatCode="&quot;$&quot;#,##0.00"/>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164" formatCode="&quot;$&quot;#,##0.00"/>
      <fill>
        <patternFill patternType="solid">
          <fgColor indexed="64"/>
          <bgColor theme="0" tint="-0.14999847407452621"/>
        </patternFill>
      </fill>
    </dxf>
    <dxf>
      <numFmt numFmtId="0" formatCode="General"/>
      <fill>
        <patternFill patternType="solid">
          <fgColor indexed="64"/>
          <bgColor theme="0" tint="-0.14999847407452621"/>
        </patternFill>
      </fill>
    </dxf>
    <dxf>
      <fill>
        <patternFill patternType="solid">
          <fgColor indexed="64"/>
          <bgColor theme="0" tint="-0.14999847407452621"/>
        </patternFill>
      </fill>
    </dxf>
    <dxf>
      <numFmt numFmtId="164" formatCode="&quot;$&quot;#,##0.00"/>
      <fill>
        <patternFill patternType="solid">
          <fgColor indexed="64"/>
          <bgColor theme="0" tint="-0.14999847407452621"/>
        </patternFill>
      </fill>
    </dxf>
    <dxf>
      <fill>
        <patternFill patternType="solid">
          <fgColor indexed="64"/>
          <bgColor rgb="FF92D050"/>
        </patternFill>
      </fill>
    </dxf>
    <dxf>
      <fill>
        <patternFill patternType="solid">
          <fgColor indexed="64"/>
          <bgColor rgb="FF92D050"/>
        </patternFill>
      </fill>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numFmt numFmtId="164" formatCode="&quot;$&quot;#,##0.00"/>
    </dxf>
    <dxf>
      <numFmt numFmtId="164" formatCode="&quot;$&quot;#,##0.00"/>
    </dxf>
    <dxf>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164" formatCode="&quot;$&quot;#,##0.00"/>
      <fill>
        <patternFill patternType="solid">
          <fgColor indexed="64"/>
          <bgColor theme="0" tint="-0.14999847407452621"/>
        </patternFill>
      </fill>
    </dxf>
    <dxf>
      <numFmt numFmtId="0" formatCode="General"/>
      <fill>
        <patternFill patternType="solid">
          <fgColor indexed="64"/>
          <bgColor theme="0" tint="-0.14999847407452621"/>
        </patternFill>
      </fill>
    </dxf>
    <dxf>
      <fill>
        <patternFill patternType="solid">
          <fgColor indexed="64"/>
          <bgColor theme="0" tint="-0.14999847407452621"/>
        </patternFill>
      </fill>
    </dxf>
    <dxf>
      <numFmt numFmtId="164" formatCode="&quot;$&quot;#,##0.00"/>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164" formatCode="&quot;$&quot;#,##0.00"/>
      <fill>
        <patternFill patternType="solid">
          <fgColor indexed="64"/>
          <bgColor theme="0" tint="-0.14999847407452621"/>
        </patternFill>
      </fill>
    </dxf>
    <dxf>
      <numFmt numFmtId="0" formatCode="General"/>
      <fill>
        <patternFill patternType="solid">
          <fgColor indexed="64"/>
          <bgColor theme="0" tint="-0.14999847407452621"/>
        </patternFill>
      </fill>
    </dxf>
    <dxf>
      <fill>
        <patternFill patternType="solid">
          <fgColor indexed="64"/>
          <bgColor theme="0" tint="-0.14999847407452621"/>
        </patternFill>
      </fill>
    </dxf>
    <dxf>
      <numFmt numFmtId="164" formatCode="&quot;$&quot;#,##0.00"/>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fill>
        <patternFill patternType="solid">
          <fgColor indexed="64"/>
          <bgColor theme="0" tint="-0.14999847407452621"/>
        </patternFill>
      </fill>
    </dxf>
    <dxf>
      <font>
        <strike val="0"/>
        <outline val="0"/>
        <shadow val="0"/>
        <u val="none"/>
        <vertAlign val="baseline"/>
        <sz val="12"/>
        <color auto="1"/>
        <name val="Times New Roman"/>
        <family val="1"/>
        <scheme val="none"/>
      </font>
      <numFmt numFmtId="13" formatCode="0%"/>
      <fill>
        <patternFill patternType="none">
          <fgColor indexed="64"/>
          <bgColor indexed="65"/>
        </patternFill>
      </fill>
    </dxf>
    <dxf>
      <font>
        <b/>
        <strike val="0"/>
        <outline val="0"/>
        <shadow val="0"/>
        <u val="none"/>
        <vertAlign val="baseline"/>
        <sz val="12"/>
        <color auto="1"/>
        <name val="Times New Roman"/>
        <family val="1"/>
        <scheme val="none"/>
      </font>
      <numFmt numFmtId="166" formatCode="&quot;$&quot;#,##0"/>
      <fill>
        <patternFill patternType="solid">
          <fgColor indexed="64"/>
          <bgColor rgb="FFFF0000"/>
        </patternFill>
      </fill>
      <alignment horizontal="general" vertical="bottom" textRotation="0" wrapText="0" indent="0" justifyLastLine="0" shrinkToFit="0" readingOrder="0"/>
      <border diagonalUp="0" diagonalDown="0">
        <left style="thin">
          <color theme="8"/>
        </left>
        <right/>
        <top/>
        <bottom/>
        <vertical/>
        <horizontal/>
      </border>
    </dxf>
    <dxf>
      <font>
        <b/>
        <strike val="0"/>
        <outline val="0"/>
        <shadow val="0"/>
        <u val="none"/>
        <vertAlign val="baseline"/>
        <sz val="12"/>
        <color auto="1"/>
        <name val="Times New Roman"/>
        <family val="1"/>
        <scheme val="none"/>
      </font>
      <fill>
        <patternFill patternType="solid">
          <fgColor indexed="64"/>
          <bgColor theme="6" tint="0.79998168889431442"/>
        </patternFill>
      </fill>
      <alignment horizontal="general" vertical="bottom" textRotation="0" wrapText="0" indent="0" justifyLastLine="0" shrinkToFit="0" readingOrder="0"/>
    </dxf>
    <dxf>
      <font>
        <b val="0"/>
        <i val="0"/>
        <strike val="0"/>
        <condense val="0"/>
        <extend val="0"/>
        <outline val="0"/>
        <shadow val="0"/>
        <u val="none"/>
        <vertAlign val="baseline"/>
        <sz val="12"/>
        <color auto="1"/>
        <name val="Cambria"/>
        <family val="1"/>
        <scheme val="major"/>
      </font>
      <fill>
        <patternFill patternType="solid">
          <fgColor indexed="64"/>
          <bgColor theme="6" tint="0.79998168889431442"/>
        </patternFill>
      </fill>
      <alignment horizontal="general" vertical="center" textRotation="0" wrapText="1" indent="0" justifyLastLine="0" shrinkToFit="0" readingOrder="0"/>
      <protection locked="0" hidden="0"/>
    </dxf>
    <dxf>
      <font>
        <strike val="0"/>
        <outline val="0"/>
        <shadow val="0"/>
        <u val="none"/>
        <vertAlign val="baseline"/>
        <sz val="12"/>
        <color auto="1"/>
        <name val="Cambria"/>
        <family val="1"/>
        <scheme val="major"/>
      </font>
      <alignment horizontal="general" vertical="center" textRotation="0" wrapText="1" indent="0" justifyLastLine="0" shrinkToFit="0" readingOrder="0"/>
    </dxf>
    <dxf>
      <font>
        <strike val="0"/>
        <outline val="0"/>
        <shadow val="0"/>
        <u val="none"/>
        <vertAlign val="baseline"/>
        <sz val="12"/>
        <color theme="4" tint="-0.499984740745262"/>
        <name val="Times New Roman"/>
        <family val="1"/>
        <scheme val="none"/>
      </font>
      <alignment horizontal="general"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protection locked="0" hidden="0"/>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none">
          <fgColor indexed="64"/>
          <bgColor indexed="65"/>
        </patternFill>
      </fill>
    </dxf>
    <dxf>
      <fill>
        <patternFill patternType="none">
          <fgColor indexed="64"/>
          <bgColor indexed="65"/>
        </patternFill>
      </fill>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s>
  <tableStyles count="0" defaultTableStyle="TableStyleMedium9" defaultPivotStyle="PivotStyleLight16"/>
  <colors>
    <mruColors>
      <color rgb="FF00FF00"/>
      <color rgb="FFFFD08B"/>
      <color rgb="FFF3FE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7</xdr:col>
      <xdr:colOff>1138518</xdr:colOff>
      <xdr:row>0</xdr:row>
      <xdr:rowOff>815229</xdr:rowOff>
    </xdr:from>
    <xdr:to>
      <xdr:col>7</xdr:col>
      <xdr:colOff>2819960</xdr:colOff>
      <xdr:row>0</xdr:row>
      <xdr:rowOff>1329578</xdr:rowOff>
    </xdr:to>
    <xdr:grpSp>
      <xdr:nvGrpSpPr>
        <xdr:cNvPr id="3" name="Clear button" descr="Select to clear checks from Done column">
          <a:extLst>
            <a:ext uri="{FF2B5EF4-FFF2-40B4-BE49-F238E27FC236}">
              <a16:creationId xmlns:a16="http://schemas.microsoft.com/office/drawing/2014/main" id="{00000000-0008-0000-0000-000003000000}"/>
            </a:ext>
          </a:extLst>
        </xdr:cNvPr>
        <xdr:cNvGrpSpPr/>
      </xdr:nvGrpSpPr>
      <xdr:grpSpPr>
        <a:xfrm>
          <a:off x="4388224" y="815229"/>
          <a:ext cx="1681442" cy="514349"/>
          <a:chOff x="9039225" y="876301"/>
          <a:chExt cx="1104900" cy="514349"/>
        </a:xfrm>
      </xdr:grpSpPr>
      <xdr:pic macro="[0]!Sheet1.ClearList">
        <xdr:nvPicPr>
          <xdr:cNvPr id="4" name="Picture 3" descr="Click ">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 textlink="">
        <xdr:nvSpPr>
          <xdr:cNvPr id="5" name="TextBox 4" descr="Select to clear checks from Done column">
            <a:extLst>
              <a:ext uri="{FF2B5EF4-FFF2-40B4-BE49-F238E27FC236}">
                <a16:creationId xmlns:a16="http://schemas.microsoft.com/office/drawing/2014/main" id="{00000000-0008-0000-0000-000005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 Checklist</a:t>
            </a:r>
          </a:p>
        </xdr:txBody>
      </xdr:sp>
    </xdr:grpSp>
    <xdr:clientData fPrintsWithSheet="0"/>
  </xdr:twoCellAnchor>
  <xdr:twoCellAnchor editAs="oneCell">
    <xdr:from>
      <xdr:col>0</xdr:col>
      <xdr:colOff>0</xdr:colOff>
      <xdr:row>0</xdr:row>
      <xdr:rowOff>354823</xdr:rowOff>
    </xdr:from>
    <xdr:to>
      <xdr:col>7</xdr:col>
      <xdr:colOff>592231</xdr:colOff>
      <xdr:row>0</xdr:row>
      <xdr:rowOff>1179558</xdr:rowOff>
    </xdr:to>
    <xdr:grpSp>
      <xdr:nvGrpSpPr>
        <xdr:cNvPr id="6" name="Vacation Items Checklist" descr="Vacation Items checklist">
          <a:extLst>
            <a:ext uri="{FF2B5EF4-FFF2-40B4-BE49-F238E27FC236}">
              <a16:creationId xmlns:a16="http://schemas.microsoft.com/office/drawing/2014/main" id="{00000000-0008-0000-0000-000006000000}"/>
            </a:ext>
          </a:extLst>
        </xdr:cNvPr>
        <xdr:cNvGrpSpPr/>
      </xdr:nvGrpSpPr>
      <xdr:grpSpPr>
        <a:xfrm>
          <a:off x="0" y="354823"/>
          <a:ext cx="3841937" cy="824735"/>
          <a:chOff x="828675" y="257174"/>
          <a:chExt cx="3838575" cy="824735"/>
        </a:xfrm>
      </xdr:grpSpPr>
      <xdr:sp macro="" textlink="">
        <xdr:nvSpPr>
          <xdr:cNvPr id="8" name="TextBox 7" descr="Vacation Items&#10;">
            <a:extLst>
              <a:ext uri="{FF2B5EF4-FFF2-40B4-BE49-F238E27FC236}">
                <a16:creationId xmlns:a16="http://schemas.microsoft.com/office/drawing/2014/main" id="{00000000-0008-0000-0000-000008000000}"/>
              </a:ext>
            </a:extLst>
          </xdr:cNvPr>
          <xdr:cNvSpPr txBox="1"/>
        </xdr:nvSpPr>
        <xdr:spPr>
          <a:xfrm>
            <a:off x="828675" y="257174"/>
            <a:ext cx="3838575"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Prestige</a:t>
            </a:r>
            <a:r>
              <a:rPr lang="en-US" sz="4800" baseline="0">
                <a:solidFill>
                  <a:schemeClr val="accent5">
                    <a:lumMod val="75000"/>
                  </a:schemeClr>
                </a:solidFill>
                <a:latin typeface="Freestyle Script" pitchFamily="66" charset="0"/>
              </a:rPr>
              <a:t> Design Build</a:t>
            </a:r>
            <a:endParaRPr lang="en-US" sz="4800">
              <a:solidFill>
                <a:schemeClr val="accent5">
                  <a:lumMod val="75000"/>
                </a:schemeClr>
              </a:solidFill>
              <a:latin typeface="Freestyle Script" pitchFamily="66" charset="0"/>
            </a:endParaRPr>
          </a:p>
        </xdr:txBody>
      </xdr:sp>
      <xdr:sp macro="" textlink="">
        <xdr:nvSpPr>
          <xdr:cNvPr id="9" name="TextBox 8" descr="checklist">
            <a:extLst>
              <a:ext uri="{FF2B5EF4-FFF2-40B4-BE49-F238E27FC236}">
                <a16:creationId xmlns:a16="http://schemas.microsoft.com/office/drawing/2014/main" id="{00000000-0008-0000-0000-000009000000}"/>
              </a:ext>
            </a:extLst>
          </xdr:cNvPr>
          <xdr:cNvSpPr txBox="1"/>
        </xdr:nvSpPr>
        <xdr:spPr>
          <a:xfrm>
            <a:off x="1790700" y="800101"/>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7</xdr:col>
      <xdr:colOff>3352053</xdr:colOff>
      <xdr:row>0</xdr:row>
      <xdr:rowOff>216461</xdr:rowOff>
    </xdr:from>
    <xdr:to>
      <xdr:col>7</xdr:col>
      <xdr:colOff>7139828</xdr:colOff>
      <xdr:row>0</xdr:row>
      <xdr:rowOff>1315010</xdr:rowOff>
    </xdr:to>
    <mc:AlternateContent xmlns:mc="http://schemas.openxmlformats.org/markup-compatibility/2006" xmlns:sle15="http://schemas.microsoft.com/office/drawing/2012/slicer">
      <mc:Choice Requires="sle15">
        <xdr:graphicFrame macro="">
          <xdr:nvGraphicFramePr>
            <xdr:cNvPr id="10" name="Category" descr="Slicer to filter items by Category. Hold Ctrl to select multiple categories">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601759" y="216461"/>
              <a:ext cx="3787775" cy="10985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7</xdr:col>
      <xdr:colOff>1134036</xdr:colOff>
      <xdr:row>0</xdr:row>
      <xdr:rowOff>149599</xdr:rowOff>
    </xdr:from>
    <xdr:to>
      <xdr:col>7</xdr:col>
      <xdr:colOff>2797736</xdr:colOff>
      <xdr:row>0</xdr:row>
      <xdr:rowOff>663948</xdr:rowOff>
    </xdr:to>
    <xdr:grpSp>
      <xdr:nvGrpSpPr>
        <xdr:cNvPr id="15" name="Clear button" descr="Select to clear checks from Done column">
          <a:extLst>
            <a:ext uri="{FF2B5EF4-FFF2-40B4-BE49-F238E27FC236}">
              <a16:creationId xmlns:a16="http://schemas.microsoft.com/office/drawing/2014/main" id="{00000000-0008-0000-0000-00000F000000}"/>
            </a:ext>
          </a:extLst>
        </xdr:cNvPr>
        <xdr:cNvGrpSpPr/>
      </xdr:nvGrpSpPr>
      <xdr:grpSpPr>
        <a:xfrm>
          <a:off x="4383742" y="149599"/>
          <a:ext cx="1663700" cy="514349"/>
          <a:chOff x="9039225" y="876301"/>
          <a:chExt cx="1104900" cy="514349"/>
        </a:xfrm>
      </xdr:grpSpPr>
      <xdr:pic macro="[0]!Sheet1.ClearList">
        <xdr:nvPicPr>
          <xdr:cNvPr id="16" name="Picture 15" descr="Click ">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USerForm.ShowUserForm" textlink="">
        <xdr:nvSpPr>
          <xdr:cNvPr id="17" name="TextBox 16" descr="Select to clear checks from Done column">
            <a:extLst>
              <a:ext uri="{FF2B5EF4-FFF2-40B4-BE49-F238E27FC236}">
                <a16:creationId xmlns:a16="http://schemas.microsoft.com/office/drawing/2014/main" id="{00000000-0008-0000-0000-000011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Add/Edit Client</a:t>
            </a:r>
          </a:p>
        </xdr:txBody>
      </xdr:sp>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10</xdr:row>
      <xdr:rowOff>95250</xdr:rowOff>
    </xdr:from>
    <xdr:to>
      <xdr:col>9</xdr:col>
      <xdr:colOff>962025</xdr:colOff>
      <xdr:row>10</xdr:row>
      <xdr:rowOff>104775</xdr:rowOff>
    </xdr:to>
    <xdr:cxnSp macro="">
      <xdr:nvCxnSpPr>
        <xdr:cNvPr id="2" name="Conector reto 8">
          <a:extLst>
            <a:ext uri="{FF2B5EF4-FFF2-40B4-BE49-F238E27FC236}">
              <a16:creationId xmlns:a16="http://schemas.microsoft.com/office/drawing/2014/main" id="{00000000-0008-0000-0100-000002000000}"/>
            </a:ext>
          </a:extLst>
        </xdr:cNvPr>
        <xdr:cNvCxnSpPr/>
      </xdr:nvCxnSpPr>
      <xdr:spPr>
        <a:xfrm flipV="1">
          <a:off x="9525" y="2000250"/>
          <a:ext cx="6648450" cy="952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123825</xdr:colOff>
      <xdr:row>0</xdr:row>
      <xdr:rowOff>104775</xdr:rowOff>
    </xdr:from>
    <xdr:to>
      <xdr:col>6</xdr:col>
      <xdr:colOff>266699</xdr:colOff>
      <xdr:row>7</xdr:row>
      <xdr:rowOff>47625</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123825" y="104775"/>
          <a:ext cx="4552949" cy="1276350"/>
          <a:chOff x="138965" y="111137"/>
          <a:chExt cx="5109635" cy="1295588"/>
        </a:xfrm>
      </xdr:grpSpPr>
      <xdr:pic>
        <xdr:nvPicPr>
          <xdr:cNvPr id="4" name="Imagem 3" descr="Sem título1.jp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stretch>
            <a:fillRect/>
          </a:stretch>
        </xdr:blipFill>
        <xdr:spPr>
          <a:xfrm>
            <a:off x="138965" y="111137"/>
            <a:ext cx="5048250" cy="1295588"/>
          </a:xfrm>
          <a:prstGeom prst="rect">
            <a:avLst/>
          </a:prstGeom>
        </xdr:spPr>
      </xdr:pic>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3078608" y="395173"/>
            <a:ext cx="2169992" cy="1002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503 Montclair CT,</a:t>
            </a:r>
          </a:p>
          <a:p>
            <a:pPr algn="ctr"/>
            <a:r>
              <a:rPr lang="en-US" sz="1100"/>
              <a:t>Parkton MD</a:t>
            </a:r>
            <a:r>
              <a:rPr lang="en-US" sz="1100" baseline="0"/>
              <a:t> 21120</a:t>
            </a:r>
          </a:p>
          <a:p>
            <a:pPr algn="ctr"/>
            <a:r>
              <a:rPr lang="en-US" sz="1100" baseline="0"/>
              <a:t>(410) 336-5200</a:t>
            </a:r>
          </a:p>
          <a:p>
            <a:pPr algn="ctr"/>
            <a:r>
              <a:rPr lang="en-US" sz="900" baseline="0"/>
              <a:t>prestigedesignbuildllc@hotmail.com</a:t>
            </a:r>
            <a:endParaRPr lang="en-US" sz="9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219075</xdr:colOff>
          <xdr:row>2</xdr:row>
          <xdr:rowOff>114300</xdr:rowOff>
        </xdr:from>
        <xdr:to>
          <xdr:col>24</xdr:col>
          <xdr:colOff>85725</xdr:colOff>
          <xdr:row>3</xdr:row>
          <xdr:rowOff>123825</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73CDFA3-79F6-4FDE-A3D1-B70F29B8B435}" sourceName="Category">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DC226B4C-DC32-4FBC-8544-74B490A96FE3}" cache="Slicer_Category" caption="Category" startItem="2"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98492D-4170-497C-AA71-AD26D58E8101}" name="Checklist" displayName="Checklist" ref="A7:L101" totalsRowShown="0" headerRowCellStyle="Heading 1">
  <autoFilter ref="A7:L101"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s>
        <filter val="Draw Schedule"/>
        <filter val="Fixed Cost Items"/>
        <filter val="Material Schedule"/>
        <filter val="Notes"/>
        <filter val="Taxed Variable Cost Items"/>
        <filter val="Variable Cost Items"/>
      </filters>
    </filterColumn>
    <filterColumn colId="7" hiddenButton="1"/>
    <filterColumn colId="8" hiddenButton="1"/>
    <filterColumn colId="9" hiddenButton="1"/>
    <filterColumn colId="10" hiddenButton="1"/>
    <filterColumn colId="11" hiddenButton="1"/>
  </autoFilter>
  <sortState xmlns:xlrd2="http://schemas.microsoft.com/office/spreadsheetml/2017/richdata2" ref="F8:H19">
    <sortCondition ref="G7:G19"/>
  </sortState>
  <tableColumns count="12">
    <tableColumn id="7" xr3:uid="{E088ABBA-3EA7-423F-B3E4-30A2DF07F0D5}" name="If there" dataDxfId="51" dataCellStyle="Normal 2">
      <calculatedColumnFormula>--ISNUMBER(SEARCH('Driving Code'!$B$2,F8))</calculatedColumnFormula>
    </tableColumn>
    <tableColumn id="9" xr3:uid="{4D996D7B-8066-4B3E-9023-C249CB6E1CE0}" name="frequency" dataDxfId="50" dataCellStyle="Normal 2">
      <calculatedColumnFormula>IF(A8=1,COUNTIF($A$8:$A8,1),"")</calculatedColumnFormula>
    </tableColumn>
    <tableColumn id="11" xr3:uid="{628851D4-1AD5-4CE4-8457-76A89744012B}" name="freqdraw" dataDxfId="49" dataCellStyle="Normal 2"/>
    <tableColumn id="8" xr3:uid="{78DCD25F-4766-482F-B40A-B61193092A72}" name="freqmaterial" dataDxfId="48" dataCellStyle="Normal 2"/>
    <tableColumn id="10" xr3:uid="{0958A89E-2B25-40A0-8E85-359A35866187}" name="freqnotes" dataDxfId="47" dataCellStyle="Normal 2"/>
    <tableColumn id="4" xr3:uid="{81EF7236-9DBF-4AA6-A503-B71F92B2A795}" name="Visible?" dataDxfId="46"/>
    <tableColumn id="2" xr3:uid="{857AAD6F-4FE1-4BC8-8241-7383D14DF697}" name="Category" dataDxfId="45"/>
    <tableColumn id="3" xr3:uid="{395AB119-0768-4CA9-BC8F-18348329C0C7}" name="Item" dataDxfId="44"/>
    <tableColumn id="12" xr3:uid="{06B321B0-8EFD-4D9F-A2A3-BE4EDFA05728}" name="Allowance" dataDxfId="43" dataCellStyle="Normal 2"/>
    <tableColumn id="1" xr3:uid="{31EE2F9B-5FD0-4157-979A-CC10DD0CD306}" name="Quantity" dataDxfId="42" dataCellStyle="Normal 2"/>
    <tableColumn id="5" xr3:uid="{13A1098D-16D5-49C7-8E81-0CA305CD5485}" name="Cost" dataDxfId="41" dataCellStyle="Normal 2"/>
    <tableColumn id="6" xr3:uid="{3AC64E6B-9286-4D28-B8FC-EB0E18440BF2}" name="%" dataDxfId="40" dataCellStyle="Normal 2"/>
  </tableColumns>
  <tableStyleInfo name="TableStyleLight13" showFirstColumn="0" showLastColumn="0" showRowStripes="0" showColumnStripes="1"/>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FE998F-2265-49BE-B008-7C2EC99ADE44}" name="UserTable15" displayName="UserTable15" ref="I3:Q33" totalsRowShown="0" dataDxfId="39">
  <autoFilter ref="I3:Q33" xr:uid="{AEDE64D3-1B9A-4FD3-BDC3-225D4577E1F7}"/>
  <sortState xmlns:xlrd2="http://schemas.microsoft.com/office/spreadsheetml/2017/richdata2" ref="I4:P17">
    <sortCondition ref="K5:K19"/>
  </sortState>
  <tableColumns count="9">
    <tableColumn id="1" xr3:uid="{809FFF51-B2EE-4B94-9632-ADFFCA96264E}" name="Item" dataDxfId="38">
      <calculatedColumnFormula>TRIM('RC Checklist'!H8)</calculatedColumnFormula>
    </tableColumn>
    <tableColumn id="2" xr3:uid="{B48611C7-D248-49DC-BF8D-2B2251EC086A}" name="Quantity" dataDxfId="37">
      <calculatedColumnFormula>'RC Checklist'!J8</calculatedColumnFormula>
    </tableColumn>
    <tableColumn id="3" xr3:uid="{C42082E9-D943-4926-9B67-76CFF04926EF}" name="Cost Per Item" dataDxfId="36">
      <calculatedColumnFormula>IFERROR(VLOOKUP(I4, FixedItem[],2,FALSE),0)</calculatedColumnFormula>
    </tableColumn>
    <tableColumn id="4" xr3:uid="{3C6847BA-DC51-4574-BE51-DF93EE9949AC}" name="Material Cost" dataDxfId="35">
      <calculatedColumnFormula>K4*J4</calculatedColumnFormula>
    </tableColumn>
    <tableColumn id="5" xr3:uid="{E5CE5FD8-FD89-433F-8683-A9628366C3E2}" name="Hardware" dataDxfId="34">
      <calculatedColumnFormula>IFERROR(VLOOKUP(I4,FixedItem[],4,FALSE),0)</calculatedColumnFormula>
    </tableColumn>
    <tableColumn id="6" xr3:uid="{63C55EA4-CE76-4314-B21B-4021B1F81B5B}" name="Hardware Cost" dataDxfId="33">
      <calculatedColumnFormula>IFERROR(M4*VLOOKUP(I4, FixedItem[],5,FALSE)*UserTable15[[#This Row],[Quantity]],0)</calculatedColumnFormula>
    </tableColumn>
    <tableColumn id="7" xr3:uid="{67C24006-B71E-4C4F-8F3C-8A7CBC44B7EA}" name="Labor" dataDxfId="32">
      <calculatedColumnFormula>IFERROR(VLOOKUP(I4, FixedItem[],3,FALSE)*UserTable15[[#This Row],[Quantity]],0)</calculatedColumnFormula>
    </tableColumn>
    <tableColumn id="8" xr3:uid="{AEB8363E-5BC4-43BA-9361-3896651EFFA0}" name="Labor Cost" dataDxfId="31">
      <calculatedColumnFormula>UserTable15[[#This Row],[Labor]]*$B$6</calculatedColumnFormula>
    </tableColumn>
    <tableColumn id="9" xr3:uid="{9427E5AE-87B3-4A0B-BBE1-4D2387BAEC3D}" name="Total Cost" dataDxfId="30">
      <calculatedColumnFormula>SUM(P4,N4,L4)</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9EE6FF-9F4E-4223-AB79-C5EB4EF53209}" name="VariableCost18" displayName="VariableCost18" ref="S3:V33" totalsRowShown="0">
  <autoFilter ref="S3:V33" xr:uid="{573C4C9F-D664-41FA-A94A-991B08732F84}"/>
  <sortState xmlns:xlrd2="http://schemas.microsoft.com/office/spreadsheetml/2017/richdata2" ref="S4:X17">
    <sortCondition ref="T5:T19"/>
  </sortState>
  <tableColumns count="4">
    <tableColumn id="1" xr3:uid="{D04560E8-7408-4836-8D53-A2690227C46F}" name="Item" dataDxfId="29">
      <calculatedColumnFormula>TRIM('Driving Code'!P6)</calculatedColumnFormula>
    </tableColumn>
    <tableColumn id="3" xr3:uid="{7D1DA519-AB79-4A69-A161-B22472308739}" name="Cost of Item" dataDxfId="28">
      <calculatedColumnFormula>'RC Checklist'!K48</calculatedColumnFormula>
    </tableColumn>
    <tableColumn id="5" xr3:uid="{614364AC-F542-479D-9017-30EE8C67D5C8}" name="Quantity" dataDxfId="27">
      <calculatedColumnFormula>'RC Checklist'!J48</calculatedColumnFormula>
    </tableColumn>
    <tableColumn id="2" xr3:uid="{5A80C679-B705-40D3-ADB6-A3E4A7C6521A}" name="Total" dataDxfId="26">
      <calculatedColumnFormula>VariableCost18[[#This Row],[Quantity]]*VariableCost18[[#This Row],[Cost of Item]]</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B2855F7-5394-4C3C-9FBD-1D24546712D5}" name="FixedItem" displayName="FixedItem" ref="A1:CQ88" totalsRowShown="0">
  <autoFilter ref="A1:CQ88" xr:uid="{312F5EE0-5DC6-4E8E-9D96-4177C6151E90}"/>
  <sortState xmlns:xlrd2="http://schemas.microsoft.com/office/spreadsheetml/2017/richdata2" ref="A2:E76">
    <sortCondition ref="A1:A76"/>
  </sortState>
  <tableColumns count="95">
    <tableColumn id="1" xr3:uid="{BEC50F09-4C37-483F-BFFB-4C27777BF3BE}" name="Item"/>
    <tableColumn id="2" xr3:uid="{533CD7D5-5D81-4BF2-9E25-E59E34466D02}" name="Cost" dataDxfId="25"/>
    <tableColumn id="3" xr3:uid="{C51E6F6E-A5AD-436C-9841-C0881CD68C21}" name="Labor Hours"/>
    <tableColumn id="4" xr3:uid="{A96EF4F3-D252-4EFD-A6B5-2436CE01CA57}" name="Hardware"/>
    <tableColumn id="5" xr3:uid="{49C59682-7838-451E-B60A-A634AC25AB51}" name="Hardware Cost" dataDxfId="24"/>
    <tableColumn id="6" xr3:uid="{C9E638D4-406A-4B32-A5DF-AF9E6331E5D2}" name="if found">
      <calculatedColumnFormula>--ISNUMBER(SEARCH('RC Checklist'!$H$8,A2))</calculatedColumnFormula>
    </tableColumn>
    <tableColumn id="7" xr3:uid="{471F2780-3675-44CC-A98D-50849B945F9E}" name="frequency">
      <calculatedColumnFormula>IF(F2=1,COUNTIF($F$2:$F2,1),"")</calculatedColumnFormula>
    </tableColumn>
    <tableColumn id="8" xr3:uid="{0448B607-897C-431C-B3A7-3C335DEB8162}" name="searchable list">
      <calculatedColumnFormula>IFERROR(INDEX(FixedItem[Item], MATCH(ROWS($G$2:$G2),FixedItem[frequency], 0)),"")</calculatedColumnFormula>
    </tableColumn>
    <tableColumn id="9" xr3:uid="{B45AF0D6-3712-42BE-8C9A-63E27E410F84}" name="if found2">
      <calculatedColumnFormula>--ISNUMBER(SEARCH('RC Checklist'!$H$9,A2))</calculatedColumnFormula>
    </tableColumn>
    <tableColumn id="10" xr3:uid="{43554F46-153D-441F-A5D1-1AD334AF8C97}" name="frequency3">
      <calculatedColumnFormula>IF(I2=1,COUNTIF($J$2:$J2,1),"")</calculatedColumnFormula>
    </tableColumn>
    <tableColumn id="11" xr3:uid="{9B845E16-3640-462E-909F-3F111A816018}" name="searchable list4">
      <calculatedColumnFormula>IFERROR(INDEX(FixedItem[Item], MATCH(ROWS($J$2:$J2),FixedItem[frequency3], 0)),"")</calculatedColumnFormula>
    </tableColumn>
    <tableColumn id="12" xr3:uid="{8BB0C36D-DDD9-41FF-8C64-427F2B4550AD}" name="if found3"/>
    <tableColumn id="13" xr3:uid="{02659D11-E407-4DED-83D7-6023851B2E4E}" name="frequency4"/>
    <tableColumn id="14" xr3:uid="{80C1A795-1EB2-4CD2-847F-1F10F3C5BE64}" name="searchable list5"/>
    <tableColumn id="15" xr3:uid="{AF8EE41A-09D5-4AF9-BFA0-E0FFFDBD0669}" name="if found4"/>
    <tableColumn id="16" xr3:uid="{105B7F6D-707A-4E16-AE3A-508619B6BBE1}" name="frequency5"/>
    <tableColumn id="17" xr3:uid="{6C98C6AF-427C-4272-B4AE-3F454F500F89}" name="searchable list6"/>
    <tableColumn id="18" xr3:uid="{030A393D-DDFC-472D-BB0D-0A8DAB81E866}" name="if found5"/>
    <tableColumn id="19" xr3:uid="{74401B64-4894-4CBB-B0A7-14A71A9F58C0}" name="frequency6"/>
    <tableColumn id="20" xr3:uid="{5D4E128B-6D59-4231-9683-0966231A0B83}" name="searchable list7"/>
    <tableColumn id="21" xr3:uid="{816A8CDF-84E3-4823-849E-173CFA4B2F0D}" name="if found6"/>
    <tableColumn id="22" xr3:uid="{98234130-2718-45AE-B087-21315F2D15D4}" name="frequency7"/>
    <tableColumn id="23" xr3:uid="{0539861C-7D34-4070-8B18-226800A58232}" name="searchable list8"/>
    <tableColumn id="24" xr3:uid="{807ABD1A-6F21-4574-8F66-7D3F1CCA6F6E}" name="if found7"/>
    <tableColumn id="25" xr3:uid="{716F21D3-65A0-457E-BE3C-7E0B920C71EB}" name="frequency8"/>
    <tableColumn id="26" xr3:uid="{1C3D5EAA-C5AC-4915-87A9-C07D350EFAA7}" name="searchable list9"/>
    <tableColumn id="27" xr3:uid="{05306B4F-5C2F-43EA-8B46-0037661F4FBA}" name="if found8"/>
    <tableColumn id="28" xr3:uid="{FAE7195A-8E91-4AB4-9F45-2683EE631376}" name="frequency9"/>
    <tableColumn id="29" xr3:uid="{CDA872BA-E4FD-4267-A5C0-60656BF59C7F}" name="searchable list10"/>
    <tableColumn id="30" xr3:uid="{FA9F5F56-DA79-4B74-AC0A-99B5BC11DBE0}" name="if found9"/>
    <tableColumn id="31" xr3:uid="{8EB40F8E-07FF-45A4-ACB6-3D8FF2DEA571}" name="frequency10"/>
    <tableColumn id="32" xr3:uid="{25D362CA-81C4-48DB-9C75-0D4B85D2A916}" name="searchable list11"/>
    <tableColumn id="33" xr3:uid="{463E3017-7FBA-4529-98D6-0339F27FC1BE}" name="if found10"/>
    <tableColumn id="34" xr3:uid="{4F738AB0-328B-41A1-9370-98E1CA4D4946}" name="frequency11"/>
    <tableColumn id="35" xr3:uid="{53EFE1FD-0ACF-4D8E-AA93-0AA2679EAC38}" name="searchable list12"/>
    <tableColumn id="36" xr3:uid="{B4250047-470D-401E-910D-2E0B75918B1B}" name="if found11"/>
    <tableColumn id="37" xr3:uid="{FF25B3EB-190D-419C-9412-75176F63102F}" name="frequency12"/>
    <tableColumn id="38" xr3:uid="{EDCD62D0-D82F-4316-8FF4-EB55CEC9E329}" name="searchable list13"/>
    <tableColumn id="39" xr3:uid="{4A0C9418-D848-4592-A96D-76197542D6F2}" name="if found12"/>
    <tableColumn id="40" xr3:uid="{91C62C0B-A555-4259-83A0-087A5E530F63}" name="frequency13"/>
    <tableColumn id="41" xr3:uid="{B3B2D13E-9D83-4748-B651-D768DD63BCEB}" name="searchable list14"/>
    <tableColumn id="42" xr3:uid="{F6A7B78C-3059-4039-9E77-56DE2F8C5F2E}" name="if found13"/>
    <tableColumn id="43" xr3:uid="{0F4F683A-7327-49BF-B895-E8A42DD00475}" name="frequency14"/>
    <tableColumn id="44" xr3:uid="{EF841D59-DB76-41BD-86B5-9225FCCB9BDF}" name="searchable list15"/>
    <tableColumn id="45" xr3:uid="{34339844-B5A9-4534-A218-FC3FECD49953}" name="if found14"/>
    <tableColumn id="46" xr3:uid="{2EEDA31C-0EC1-430B-811B-EF066B284508}" name="frequency15"/>
    <tableColumn id="47" xr3:uid="{7A75B431-137B-44E4-83A7-70EA5A4EA5B7}" name="searchable list16"/>
    <tableColumn id="48" xr3:uid="{8D601233-EE76-40C2-982C-FD7C13DC8A7D}" name="if found15"/>
    <tableColumn id="49" xr3:uid="{5F36869E-294B-45FA-BA05-8BB63870911E}" name="frequency16"/>
    <tableColumn id="50" xr3:uid="{6563056B-4D86-4171-AF17-B38B5B64461D}" name="searchable list17"/>
    <tableColumn id="51" xr3:uid="{B859C084-A58C-4157-B375-EC7723BF6641}" name="if found16"/>
    <tableColumn id="52" xr3:uid="{CFA6403D-7F43-4797-A011-D681A73DDF5C}" name="frequency17"/>
    <tableColumn id="53" xr3:uid="{BE29E1D9-1649-44BB-81A2-C144B14D790D}" name="searchable list18"/>
    <tableColumn id="54" xr3:uid="{973F28DA-173C-431C-8B54-36FF5543CE51}" name="if found17"/>
    <tableColumn id="55" xr3:uid="{6E5642A5-F660-4FAC-A3D9-483E959DA067}" name="frequency18"/>
    <tableColumn id="56" xr3:uid="{9CD8556F-13D1-437A-A356-FD79DB5C7E83}" name="searchable list19"/>
    <tableColumn id="57" xr3:uid="{7720E123-31AF-4C54-A014-68BAD3D7F4E7}" name="if found18"/>
    <tableColumn id="58" xr3:uid="{722BAF1A-2D12-421D-95B4-39BF8C66CD5A}" name="frequency19"/>
    <tableColumn id="59" xr3:uid="{573233AD-845B-4BEE-9F93-B25C0ECEB19C}" name="searchable list20"/>
    <tableColumn id="60" xr3:uid="{20BDA9A5-CD41-430F-B7EF-1BB9055B190B}" name="if found19"/>
    <tableColumn id="61" xr3:uid="{0A487D32-F13E-4C32-8CE3-FA18F5119CF8}" name="frequency20"/>
    <tableColumn id="62" xr3:uid="{CDC0516A-CDC2-4258-9D2D-3A91409CF0ED}" name="searchable list21"/>
    <tableColumn id="63" xr3:uid="{CD94571B-C78D-41DB-A7A6-0B0755F3588B}" name="if found20"/>
    <tableColumn id="64" xr3:uid="{D53EA3B2-FA45-492B-A029-589C37898851}" name="frequency21"/>
    <tableColumn id="65" xr3:uid="{BCC18B7F-B2EE-4D10-B3A2-2F6772043DF6}" name="searchable list22"/>
    <tableColumn id="66" xr3:uid="{098C2E22-7AB1-4890-A3F5-2A18F71834F3}" name="if found21"/>
    <tableColumn id="67" xr3:uid="{24A1A60E-BA8E-4C6C-A9C5-E14DB5CC9453}" name="frequency22"/>
    <tableColumn id="68" xr3:uid="{617A91C3-9C44-45C3-8D19-51942A3BD26B}" name="searchable list23"/>
    <tableColumn id="69" xr3:uid="{87E61BDE-93B5-403B-B7F3-FA4B853A33F4}" name="if found22"/>
    <tableColumn id="70" xr3:uid="{C65E29F7-A1A5-4DFE-B7BB-4E1CBD47C29E}" name="frequency23"/>
    <tableColumn id="71" xr3:uid="{5281F602-BB86-47AA-A97E-F6F09A80D2AF}" name="searchable list24"/>
    <tableColumn id="72" xr3:uid="{07A5F829-BC38-4943-848C-C10DEBEF538F}" name="if found23"/>
    <tableColumn id="73" xr3:uid="{9D81EE25-DDB3-48F2-A263-0C5D1B5F2880}" name="frequency24"/>
    <tableColumn id="74" xr3:uid="{BD2526AF-0509-4129-8B17-BC166126FBA6}" name="searchable list25"/>
    <tableColumn id="75" xr3:uid="{0A7D071E-64E2-4566-971F-8B5AAB974C20}" name="if found24"/>
    <tableColumn id="76" xr3:uid="{EEAC41CB-D8BC-4729-8F44-BA4AFD437FBC}" name="frequency25"/>
    <tableColumn id="77" xr3:uid="{5F070F14-7A81-4808-B343-BAE7C64D383F}" name="searchable list26"/>
    <tableColumn id="78" xr3:uid="{9239D4CF-61E3-4E91-955C-F19F7344CCF9}" name="if found25"/>
    <tableColumn id="79" xr3:uid="{680FA520-A408-4EFC-8D88-E62A734C5A25}" name="frequency26"/>
    <tableColumn id="80" xr3:uid="{8B0F3ADB-4A3A-4BDA-9DA1-DEE7033870C7}" name="searchable list27"/>
    <tableColumn id="81" xr3:uid="{1D1339CC-0C60-421E-9315-ED070536A507}" name="if found26"/>
    <tableColumn id="82" xr3:uid="{B0EDE9A1-5470-4C52-B143-C1899521DFCA}" name="frequency27"/>
    <tableColumn id="83" xr3:uid="{46A61DFA-5705-43F0-886F-46FFA82A20C1}" name="searchable list28"/>
    <tableColumn id="84" xr3:uid="{A8C3F0BE-6AEF-4332-AC67-9802C1D09E3F}" name="if found27"/>
    <tableColumn id="85" xr3:uid="{4858707A-A651-4FED-AC26-19E45A73D4D9}" name="frequency28"/>
    <tableColumn id="86" xr3:uid="{CDD199F5-6CD9-4E7D-B7C3-CE6C7E9A5DF1}" name="searchable list29"/>
    <tableColumn id="87" xr3:uid="{980666EC-D932-4609-A2EA-20DE67AA9133}" name="if found28"/>
    <tableColumn id="88" xr3:uid="{0CD354CD-81B6-4263-8C19-7B8CCCC31D62}" name="frequency29"/>
    <tableColumn id="89" xr3:uid="{FD907AE2-890A-41B2-948E-B6C74FB28972}" name="searchable list30"/>
    <tableColumn id="90" xr3:uid="{2B8CA104-F062-4E78-A173-53C7A296F7EA}" name="if found29"/>
    <tableColumn id="91" xr3:uid="{C0A22602-8DB2-410D-A404-7FDAD8DEACBF}" name="frequency30"/>
    <tableColumn id="92" xr3:uid="{7F16EDB2-2968-4FB0-B117-A742F115D55F}" name="searchable list31"/>
    <tableColumn id="93" xr3:uid="{543C752A-1362-4BE5-B8FD-A9AEB48878B4}" name="if found30"/>
    <tableColumn id="94" xr3:uid="{A7295DEC-F017-40F8-9BE1-32D865206646}" name="frequency31"/>
    <tableColumn id="95" xr3:uid="{8B8B1EB9-604C-45C5-A9F3-18AFCD54761D}" name="searchable list3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56140C5-78E9-4A73-B83A-C97B3FA12394}" name="UserTable" displayName="UserTable" ref="F5:N35" totalsRowShown="0">
  <autoFilter ref="F5:N35" xr:uid="{E2D8FA2E-C4DA-46F9-B7C0-F9710D17ADE9}"/>
  <sortState xmlns:xlrd2="http://schemas.microsoft.com/office/spreadsheetml/2017/richdata2" ref="F6:M19">
    <sortCondition ref="H5:H19"/>
  </sortState>
  <tableColumns count="9">
    <tableColumn id="1" xr3:uid="{5EB29799-3EE1-47D9-A896-CB6D243F7CBF}" name="Item" dataDxfId="20">
      <calculatedColumnFormula>'RC Checklist'!H8</calculatedColumnFormula>
    </tableColumn>
    <tableColumn id="2" xr3:uid="{1A7B92DA-913E-4D70-B961-C0C8A976F470}" name="Quantity" dataDxfId="19">
      <calculatedColumnFormula>'RC Checklist'!J8</calculatedColumnFormula>
    </tableColumn>
    <tableColumn id="3" xr3:uid="{FE1541FF-1463-44FD-8098-C09E02515042}" name="Cost Per Item" dataDxfId="18">
      <calculatedColumnFormula>IFERROR(VLOOKUP(F6, FixedItem[],2,FALSE),0)</calculatedColumnFormula>
    </tableColumn>
    <tableColumn id="4" xr3:uid="{F4D9E6C0-9553-411D-A1C5-A66120432D67}" name="Material Cost" dataDxfId="17">
      <calculatedColumnFormula>H6*G6</calculatedColumnFormula>
    </tableColumn>
    <tableColumn id="5" xr3:uid="{A170352C-D00B-4C04-B237-3723943BCBAA}" name="Hardware" dataDxfId="16">
      <calculatedColumnFormula>IFERROR(VLOOKUP(F6,FixedItem[],4,FALSE),0)</calculatedColumnFormula>
    </tableColumn>
    <tableColumn id="6" xr3:uid="{5BE9DE48-3E29-40BD-AD3E-7B1D3BB5B450}" name="Hardware Cost" dataDxfId="15">
      <calculatedColumnFormula>IFERROR(J6*VLOOKUP(F6, FixedItem[],5,FALSE)*UserTable[[#This Row],[Quantity]],0)</calculatedColumnFormula>
    </tableColumn>
    <tableColumn id="7" xr3:uid="{4EA1DDD4-9330-4D83-89A5-FC0D8E07E58C}" name="Labor" dataDxfId="14">
      <calculatedColumnFormula>IFERROR(VLOOKUP(F6, FixedItem[],3,FALSE)*UserTable[[#This Row],[Quantity]],0)</calculatedColumnFormula>
    </tableColumn>
    <tableColumn id="8" xr3:uid="{048C3335-6B4D-4B9B-A19D-B386BCBFEAB5}" name="Labor Cost" dataDxfId="13">
      <calculatedColumnFormula>UserTable[[#This Row],[Labor]]*$C$6</calculatedColumnFormula>
    </tableColumn>
    <tableColumn id="9" xr3:uid="{C9739C3B-C3DD-4F82-A1AF-45BCEF9F74D1}" name="Total Cost" dataDxfId="12">
      <calculatedColumnFormula>SUM(M6,K6,I6)</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ED87CFA-C8A9-40D0-A305-0807C939D0BC}" name="VariableCost" displayName="VariableCost" ref="P5:T35" totalsRowShown="0">
  <autoFilter ref="P5:T35" xr:uid="{24E114DE-F1D4-43E3-921C-B4DECF837CD6}"/>
  <sortState xmlns:xlrd2="http://schemas.microsoft.com/office/spreadsheetml/2017/richdata2" ref="P6:U19">
    <sortCondition ref="Q5:Q19"/>
  </sortState>
  <tableColumns count="5">
    <tableColumn id="1" xr3:uid="{4426FFA7-FCC5-4DB1-A331-7DA9E2D045F6}" name="Item" dataDxfId="11">
      <calculatedColumnFormula>'RC Checklist'!H48</calculatedColumnFormula>
    </tableColumn>
    <tableColumn id="3" xr3:uid="{38A54215-D3EB-4CE9-B00A-4D0B18FBD345}" name="Cost of Item" dataDxfId="10">
      <calculatedColumnFormula>'RC Checklist'!K48</calculatedColumnFormula>
    </tableColumn>
    <tableColumn id="5" xr3:uid="{F29997A8-8865-447B-BF4E-79F16FEC6E3B}" name="Quantity" dataDxfId="9">
      <calculatedColumnFormula>'RC Checklist'!J48</calculatedColumnFormula>
    </tableColumn>
    <tableColumn id="2" xr3:uid="{4FE0603B-0994-4261-9032-BC21BC1EA7FF}" name="Total with tax" dataDxfId="8">
      <calculatedColumnFormula>VariableCost[[#This Row],[Quantity]]*VariableCost[[#This Row],[Cost of Item]]</calculatedColumnFormula>
    </tableColumn>
    <tableColumn id="4" xr3:uid="{5DE05AD9-88BB-4941-BBF3-7DC18F05AB0F}" name="Tax Total" dataDxfId="7">
      <calculatedColumnFormula>VariableCost[[#This Row],[Quantity]]*VariableCost[[#This Row],[Cost of Item]]</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206113-4503-40CC-B25C-71722AAED257}" name="ClientInfo" displayName="ClientInfo" ref="A1:S1201" totalsRowShown="0">
  <autoFilter ref="A1:S1201" xr:uid="{6F164F4C-4900-4331-93CA-61DCA1EC0145}"/>
  <sortState xmlns:xlrd2="http://schemas.microsoft.com/office/spreadsheetml/2017/richdata2" ref="A2:S1197">
    <sortCondition ref="A1:A1197"/>
  </sortState>
  <tableColumns count="19">
    <tableColumn id="1" xr3:uid="{19441759-A723-499F-9856-9C6F4A1C59BC}" name="Full Name" dataDxfId="6">
      <calculatedColumnFormula>TRIM(CONCATENATE(ClientInfo[[#This Row],[First Name]], " ",ClientInfo[[#This Row],[Last Name]]))</calculatedColumnFormula>
    </tableColumn>
    <tableColumn id="2" xr3:uid="{2A644D7A-329B-4800-BAD8-AB3FE162A3DA}" name="First Name"/>
    <tableColumn id="4" xr3:uid="{39C3229C-89E7-4443-B320-FFE80539CC52}" name="Last Name"/>
    <tableColumn id="6" xr3:uid="{3CE04D68-D93F-454C-A1E3-4B146C354B47}" name="Organization"/>
    <tableColumn id="8" xr3:uid="{0EF76D04-77AA-4424-A398-8D8DD1E80E4B}" name="Title"/>
    <tableColumn id="12" xr3:uid="{8022BCD1-48DA-4485-9C03-912607785B7C}" name="Main Number" dataDxfId="5"/>
    <tableColumn id="13" xr3:uid="{EB027A71-9475-4924-8AFA-354C26E2192F}" name="Alt Number" dataDxfId="4"/>
    <tableColumn id="21" xr3:uid="{35E93B95-FDDE-4FF1-A925-37737FB1283F}" name="Email Address"/>
    <tableColumn id="9" xr3:uid="{EAE20CD3-5465-499F-91BF-8CE04E5F7F5E}" name="Street"/>
    <tableColumn id="11" xr3:uid="{22D11077-7B6E-4A23-800E-0591955DDFF1}" name="City"/>
    <tableColumn id="14" xr3:uid="{132A8BA5-E5A1-48D0-BA79-AEB4FD4D56D3}" name="State"/>
    <tableColumn id="15" xr3:uid="{24E9F651-17EE-48F9-9521-40B0CC128747}" name="Zip Code"/>
    <tableColumn id="10" xr3:uid="{7C601B28-A16D-4AB7-9BBD-A2D35F56869E}" name="Special Price Point" dataCellStyle="Percent"/>
    <tableColumn id="16" xr3:uid="{F6233D1C-9A0E-49B1-8D05-DB79DB7FDDEC}" name="Tax Exempt?"/>
    <tableColumn id="31" xr3:uid="{50168159-1319-4015-9A47-55620B3FFD2C}" name="Address"/>
    <tableColumn id="32" xr3:uid="{DE5FA6F7-DF01-4617-B51B-67318A1804B5}" name="Notes"/>
    <tableColumn id="3" xr3:uid="{8B3AD57A-DC13-4396-B901-1EFA50ECF326}" name="if found" dataDxfId="3">
      <calculatedColumnFormula>--ISNUMBER(SEARCH('RC Checklist'!$G$2,A2))</calculatedColumnFormula>
    </tableColumn>
    <tableColumn id="5" xr3:uid="{FBBD0686-6A23-4D3B-914A-B70226243658}" name="frequency">
      <calculatedColumnFormula>IF(Q2=1,COUNTIF($Q$2:$Q2,1),"")</calculatedColumnFormula>
    </tableColumn>
    <tableColumn id="7" xr3:uid="{0F61378F-5AD7-4DC2-9266-A3F8059EC908}" name="searchable list" dataDxfId="2">
      <calculatedColumnFormula>IFERROR(INDEX(ClientInfo[Full Name], MATCH(ROWS($R$2:$R2),ClientInfo[frequency], 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C81995-3215-4099-86AB-BE2CF0726B2A}" name="formType" displayName="formType" ref="C1:C25" totalsRowShown="0">
  <autoFilter ref="C1:C25" xr:uid="{64FF631E-5F5E-4D5B-B841-A19CE54D603D}"/>
  <tableColumns count="1">
    <tableColumn id="1" xr3:uid="{9370FB93-F615-48AB-9E1E-E94BEAAC0BDD}" name="Form"/>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626B3F0-B5C8-45C0-8138-75090F34321A}" name="Table4" displayName="Table4" ref="A1:A99" headerRowCount="0" totalsRowShown="0">
  <tableColumns count="1">
    <tableColumn id="1" xr3:uid="{30D4B38E-72B0-4A4F-A9F2-40C3E3D6C508}" name="Column1"/>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821E98B-DA08-4303-9CEA-033EEF5CC61C}" name="StateTax" displayName="StateTax" ref="E1:H54" totalsRowShown="0">
  <autoFilter ref="E1:H54" xr:uid="{7F82D7A1-12B4-491C-8708-5D8F69450F04}"/>
  <sortState xmlns:xlrd2="http://schemas.microsoft.com/office/spreadsheetml/2017/richdata2" ref="E2:G54">
    <sortCondition ref="E1:E54"/>
  </sortState>
  <tableColumns count="4">
    <tableColumn id="1" xr3:uid="{A3762370-F3DF-44FC-B6A1-43E2CE44B5AE}" name="State"/>
    <tableColumn id="2" xr3:uid="{BDDD94A0-E422-457A-AD57-2E8126BB10F8}" name="Zone"/>
    <tableColumn id="3" xr3:uid="{C45410C6-9488-45D7-B63A-22E011E7E033}" name="Tax Rate" dataDxfId="1"/>
    <tableColumn id="4" xr3:uid="{F3CAF7E0-E013-47A6-861A-4546AC589500}" name="Labor Taxed?"/>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83C2CB0-995A-4C08-AB94-9A38DDB20CC7}" name="Table8" displayName="Table8" ref="A1:B19" totalsRowCount="1">
  <autoFilter ref="A1:B18" xr:uid="{C2E0A52E-E084-43A0-926D-A1DEEDBEE212}"/>
  <tableColumns count="2">
    <tableColumn id="1" xr3:uid="{82B14149-5509-4A09-BA26-B65179D71466}" name="Date" totalsRowLabel="Total" dataDxfId="0"/>
    <tableColumn id="2" xr3:uid="{96BD62CB-1857-4368-9715-25CC3BE81872}" name="Hours" totalsRowFunction="s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hyperlink" Target="mailto:getupgetout@woophf.com" TargetMode="External"/><Relationship Id="rId7" Type="http://schemas.openxmlformats.org/officeDocument/2006/relationships/control" Target="../activeX/activeX1.xml"/><Relationship Id="rId2" Type="http://schemas.openxmlformats.org/officeDocument/2006/relationships/hyperlink" Target="mailto:dumbdumb@thedumass.com" TargetMode="External"/><Relationship Id="rId1" Type="http://schemas.openxmlformats.org/officeDocument/2006/relationships/hyperlink" Target="mailto:db@dabomb.com" TargetMode="External"/><Relationship Id="rId6" Type="http://schemas.openxmlformats.org/officeDocument/2006/relationships/vmlDrawing" Target="../drawings/vmlDrawing1.vml"/><Relationship Id="rId5" Type="http://schemas.openxmlformats.org/officeDocument/2006/relationships/drawing" Target="../drawings/drawing3.xml"/><Relationship Id="rId4" Type="http://schemas.openxmlformats.org/officeDocument/2006/relationships/hyperlink" Target="mailto:test@testcenter.com" TargetMode="Externa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81575-6CDF-47C1-A94A-F780F2A6842E}">
  <sheetPr codeName="RCChecklist">
    <tabColor theme="4"/>
    <pageSetUpPr autoPageBreaks="0" fitToPage="1"/>
  </sheetPr>
  <dimension ref="A1:O221"/>
  <sheetViews>
    <sheetView topLeftCell="F1" zoomScale="85" zoomScaleNormal="85" zoomScaleSheetLayoutView="100" workbookViewId="0">
      <selection activeCell="H9" sqref="H9"/>
    </sheetView>
  </sheetViews>
  <sheetFormatPr defaultRowHeight="21" customHeight="1"/>
  <cols>
    <col min="1" max="1" width="14" style="55" hidden="1" customWidth="1"/>
    <col min="2" max="2" width="13" style="55" hidden="1" customWidth="1"/>
    <col min="3" max="3" width="20.85546875" style="55" hidden="1" customWidth="1"/>
    <col min="4" max="4" width="16.140625" style="55" hidden="1" customWidth="1"/>
    <col min="5" max="5" width="28.5703125" style="55" hidden="1" customWidth="1"/>
    <col min="6" max="6" width="21.7109375" style="55" bestFit="1" customWidth="1"/>
    <col min="7" max="7" width="27" style="55" bestFit="1" customWidth="1"/>
    <col min="8" max="8" width="111.85546875" style="55" customWidth="1"/>
    <col min="9" max="9" width="31.140625" style="55" customWidth="1"/>
    <col min="10" max="10" width="20.42578125" style="77" bestFit="1" customWidth="1"/>
    <col min="11" max="11" width="13.140625" style="55" bestFit="1" customWidth="1"/>
    <col min="12" max="12" width="15.140625" style="55" bestFit="1" customWidth="1"/>
    <col min="13" max="14" width="9.140625" style="55" customWidth="1"/>
    <col min="15" max="15" width="10.140625" style="55" customWidth="1"/>
    <col min="16" max="16384" width="9.140625" style="55"/>
  </cols>
  <sheetData>
    <row r="1" spans="1:15" ht="128.85" customHeight="1">
      <c r="F1" s="160" t="s">
        <v>2996</v>
      </c>
      <c r="G1" s="160"/>
      <c r="H1" s="160"/>
      <c r="I1" s="159" t="s">
        <v>3349</v>
      </c>
      <c r="J1" s="228" t="s">
        <v>3348</v>
      </c>
      <c r="K1" s="229"/>
      <c r="L1" s="229"/>
      <c r="M1" s="68"/>
      <c r="N1" s="68"/>
      <c r="O1" s="68"/>
    </row>
    <row r="2" spans="1:15" ht="15.75">
      <c r="F2" t="s">
        <v>3025</v>
      </c>
      <c r="G2" s="119" t="s">
        <v>3171</v>
      </c>
      <c r="H2" s="100" t="str">
        <f>_xlfn.CONCAT("Phone Number#: ",'Driving Code'!B16:C16, "  |  Alt Phone #: ",'Driving Code'!B17:C17, "  |  Email: ", 'Driving Code'!B18:C18)</f>
        <v>Phone Number#: 4438765309  |  Alt Phone #: 4108765309  |  Email: db@dabomb.com</v>
      </c>
      <c r="I2" s="100"/>
      <c r="J2" s="124" t="s">
        <v>3055</v>
      </c>
      <c r="K2" s="125">
        <f>'Driving Code'!L2</f>
        <v>0</v>
      </c>
      <c r="L2" s="125" t="str">
        <f>_xlfn.CONCAT("Or: ",'Driving Code'!L2/8, " Days")</f>
        <v>Or: 0 Days</v>
      </c>
      <c r="M2" s="68"/>
      <c r="N2" s="68"/>
      <c r="O2" s="68"/>
    </row>
    <row r="3" spans="1:15" ht="15.75">
      <c r="F3" t="s">
        <v>3042</v>
      </c>
      <c r="G3" s="140">
        <f>IFERROR(IF(VLOOKUP(G2,ClientInfo[],13,FALSE)= 0,0.2,VLOOKUP(G2,ClientInfo[],13,FALSE)),0.2)</f>
        <v>0.1</v>
      </c>
      <c r="H3" s="100" t="str">
        <f>_xlfn.CONCAT("Client Address: ",VLOOKUP(G2,ClientInfo[],15,FALSE))</f>
        <v>Client Address: 1831 Darrich Dr Parkville Md, 21234</v>
      </c>
      <c r="I3" s="100"/>
      <c r="J3" s="124" t="s">
        <v>3056</v>
      </c>
      <c r="K3" s="142">
        <v>0</v>
      </c>
      <c r="L3" s="125"/>
      <c r="M3" s="68"/>
      <c r="N3" s="68"/>
      <c r="O3" s="68"/>
    </row>
    <row r="4" spans="1:15" ht="15.75">
      <c r="F4" t="s">
        <v>3038</v>
      </c>
      <c r="G4" s="120">
        <v>75</v>
      </c>
      <c r="H4" s="100" t="str">
        <f>'Driving Code'!A19</f>
        <v>Notes on Customer: Cool stuff happening here</v>
      </c>
      <c r="I4" s="100"/>
      <c r="J4" s="124" t="s">
        <v>3120</v>
      </c>
      <c r="K4" s="143">
        <f>IFERROR(IF(VLOOKUP('RC Checklist'!G2,ClientInfo[],14,FALSE)="Yes",0,VLOOKUP(D12,StateTax[],3,FALSE)),6%)</f>
        <v>0.06</v>
      </c>
      <c r="L4" s="67"/>
      <c r="M4" s="68"/>
      <c r="N4" s="68"/>
      <c r="O4" s="68"/>
    </row>
    <row r="5" spans="1:15" ht="15.75">
      <c r="F5" t="s">
        <v>3044</v>
      </c>
      <c r="G5" s="119">
        <v>0</v>
      </c>
      <c r="H5" s="100" t="str">
        <f>_xlfn.CONCAT("Total Labor: ",K2+K3, " Hours")</f>
        <v>Total Labor: 0 Hours</v>
      </c>
      <c r="I5" s="100"/>
      <c r="J5" s="124" t="s">
        <v>3125</v>
      </c>
      <c r="K5" s="149">
        <f>'Driving Code'!D10</f>
        <v>10</v>
      </c>
      <c r="L5" s="67"/>
      <c r="M5" s="68"/>
      <c r="N5" s="68"/>
      <c r="O5" s="68"/>
    </row>
    <row r="6" spans="1:15" ht="21" customHeight="1">
      <c r="F6" s="104" t="s">
        <v>3045</v>
      </c>
      <c r="G6" s="121" t="s">
        <v>17</v>
      </c>
      <c r="H6" s="103" t="str">
        <f>_xlfn.CONCAT("Lump Sum: ",DOLLAR('Driving Code'!C2,0))</f>
        <v>Lump Sum: $100</v>
      </c>
      <c r="I6" s="103"/>
      <c r="J6" s="126"/>
      <c r="K6" s="127"/>
    </row>
    <row r="7" spans="1:15" ht="31.5" customHeight="1" thickBot="1">
      <c r="A7" s="76" t="s">
        <v>3016</v>
      </c>
      <c r="B7" s="76" t="s">
        <v>3014</v>
      </c>
      <c r="C7" s="76" t="s">
        <v>3019</v>
      </c>
      <c r="D7" s="76" t="s">
        <v>3020</v>
      </c>
      <c r="E7" s="76" t="s">
        <v>3021</v>
      </c>
      <c r="F7" s="235" t="s">
        <v>2999</v>
      </c>
      <c r="G7" s="56" t="s">
        <v>2997</v>
      </c>
      <c r="H7" s="56" t="s">
        <v>2925</v>
      </c>
      <c r="I7" s="56" t="s">
        <v>7</v>
      </c>
      <c r="J7" s="156" t="s">
        <v>2929</v>
      </c>
      <c r="K7" s="66" t="s">
        <v>8</v>
      </c>
      <c r="L7" s="66" t="s">
        <v>3001</v>
      </c>
      <c r="M7" s="57"/>
      <c r="N7" s="57"/>
      <c r="O7" s="57"/>
    </row>
    <row r="8" spans="1:15" ht="21" customHeight="1" thickTop="1">
      <c r="A8" s="55">
        <f>--ISNUMBER(SEARCH('Driving Code'!$B$2,F8))</f>
        <v>1</v>
      </c>
      <c r="B8" s="55">
        <f>IF(A8=1,COUNTIF($A$8:$A8,1),"")</f>
        <v>1</v>
      </c>
      <c r="F8" s="118" t="s">
        <v>3003</v>
      </c>
      <c r="G8" s="64" t="s">
        <v>2924</v>
      </c>
      <c r="H8" s="107" t="s">
        <v>3012</v>
      </c>
      <c r="I8" s="107" t="s">
        <v>3350</v>
      </c>
      <c r="J8" s="108">
        <v>1</v>
      </c>
      <c r="K8" s="96">
        <f>'Driving Code'!N6</f>
        <v>0</v>
      </c>
      <c r="L8" s="70">
        <v>0</v>
      </c>
      <c r="M8" s="61"/>
      <c r="N8" s="61"/>
    </row>
    <row r="9" spans="1:15" ht="21" customHeight="1">
      <c r="A9" s="55">
        <f>--ISNUMBER(SEARCH('Driving Code'!$B$2,F9))</f>
        <v>1</v>
      </c>
      <c r="B9" s="55">
        <f>IF(A9=1,COUNTIF($A$8:$A9,1),"")</f>
        <v>2</v>
      </c>
      <c r="F9" s="118" t="s">
        <v>3003</v>
      </c>
      <c r="G9" s="64" t="s">
        <v>2924</v>
      </c>
      <c r="H9" s="107" t="s">
        <v>3012</v>
      </c>
      <c r="I9" s="107"/>
      <c r="J9" s="108">
        <v>1</v>
      </c>
      <c r="K9" s="85">
        <f>'Driving Code'!N7</f>
        <v>0</v>
      </c>
      <c r="L9" s="70">
        <v>0</v>
      </c>
      <c r="M9" s="61"/>
      <c r="N9" s="61"/>
    </row>
    <row r="10" spans="1:15" ht="21" customHeight="1">
      <c r="A10" s="55">
        <f>--ISNUMBER(SEARCH('Driving Code'!$B$2,F10))</f>
        <v>1</v>
      </c>
      <c r="B10" s="55">
        <f>IF(A10=1,COUNTIF($A$8:$A10,1),"")</f>
        <v>3</v>
      </c>
      <c r="F10" s="118" t="s">
        <v>3003</v>
      </c>
      <c r="G10" s="64" t="s">
        <v>2924</v>
      </c>
      <c r="H10" s="107" t="s">
        <v>3012</v>
      </c>
      <c r="I10" s="107"/>
      <c r="J10" s="108">
        <v>1</v>
      </c>
      <c r="K10" s="85">
        <f>'Driving Code'!N8</f>
        <v>0</v>
      </c>
      <c r="L10" s="70">
        <v>0</v>
      </c>
      <c r="M10" s="61"/>
      <c r="N10" s="61"/>
    </row>
    <row r="11" spans="1:15" ht="21" customHeight="1">
      <c r="A11" s="55">
        <f>--ISNUMBER(SEARCH('Driving Code'!$B$2,F11))</f>
        <v>0</v>
      </c>
      <c r="B11" s="55" t="str">
        <f>IF(A11=1,COUNTIF($A$8:$A11,1),"")</f>
        <v/>
      </c>
      <c r="F11" s="118" t="s">
        <v>2998</v>
      </c>
      <c r="G11" s="64" t="s">
        <v>2924</v>
      </c>
      <c r="H11" s="107" t="s">
        <v>3012</v>
      </c>
      <c r="I11" s="107"/>
      <c r="J11" s="108">
        <v>1</v>
      </c>
      <c r="K11" s="85">
        <f>'Driving Code'!N9</f>
        <v>0</v>
      </c>
      <c r="L11" s="70">
        <v>0</v>
      </c>
      <c r="M11" s="61"/>
      <c r="N11" s="61"/>
    </row>
    <row r="12" spans="1:15" ht="21" customHeight="1">
      <c r="A12" s="55">
        <f>--ISNUMBER(SEARCH('Driving Code'!$B$2,F12))</f>
        <v>1</v>
      </c>
      <c r="B12" s="55">
        <f>IF(A12=1,COUNTIF($A$8:$A12,1),"")</f>
        <v>4</v>
      </c>
      <c r="F12" s="118" t="s">
        <v>3003</v>
      </c>
      <c r="G12" s="64" t="s">
        <v>2924</v>
      </c>
      <c r="H12" s="107" t="s">
        <v>3214</v>
      </c>
      <c r="I12" s="107" t="s">
        <v>3351</v>
      </c>
      <c r="J12" s="108">
        <v>1</v>
      </c>
      <c r="K12" s="85">
        <f>'Driving Code'!N10</f>
        <v>71.099999999999994</v>
      </c>
      <c r="L12" s="70">
        <v>0</v>
      </c>
      <c r="M12" s="61"/>
      <c r="N12" s="61"/>
    </row>
    <row r="13" spans="1:15" ht="21" customHeight="1">
      <c r="A13" s="55">
        <f>--ISNUMBER(SEARCH('Driving Code'!$B$2,F13))</f>
        <v>0</v>
      </c>
      <c r="B13" s="55" t="str">
        <f>IF(A13=1,COUNTIF($A$8:$A13,1),"")</f>
        <v/>
      </c>
      <c r="F13" s="118" t="s">
        <v>2998</v>
      </c>
      <c r="G13" s="64" t="s">
        <v>2924</v>
      </c>
      <c r="H13" s="107" t="s">
        <v>3012</v>
      </c>
      <c r="I13" s="107"/>
      <c r="J13" s="108">
        <v>1</v>
      </c>
      <c r="K13" s="85">
        <f>'Driving Code'!N11</f>
        <v>0</v>
      </c>
      <c r="L13" s="70">
        <v>0</v>
      </c>
      <c r="M13" s="61"/>
      <c r="N13" s="61"/>
    </row>
    <row r="14" spans="1:15" ht="21" customHeight="1">
      <c r="A14" s="55">
        <f>--ISNUMBER(SEARCH('Driving Code'!$B$2,F14))</f>
        <v>0</v>
      </c>
      <c r="B14" s="55" t="str">
        <f>IF(A14=1,COUNTIF($A$8:$A14,1),"")</f>
        <v/>
      </c>
      <c r="F14" s="118" t="s">
        <v>2998</v>
      </c>
      <c r="G14" s="64" t="s">
        <v>2924</v>
      </c>
      <c r="H14" s="107" t="s">
        <v>3012</v>
      </c>
      <c r="I14" s="107"/>
      <c r="J14" s="108">
        <v>1</v>
      </c>
      <c r="K14" s="85">
        <f>'Driving Code'!N12</f>
        <v>0</v>
      </c>
      <c r="L14" s="70">
        <v>0</v>
      </c>
      <c r="M14" s="61"/>
      <c r="N14" s="61"/>
    </row>
    <row r="15" spans="1:15" ht="21" customHeight="1">
      <c r="A15" s="55">
        <f>--ISNUMBER(SEARCH('Driving Code'!$B$2,F15))</f>
        <v>0</v>
      </c>
      <c r="B15" s="55" t="str">
        <f>IF(A15=1,COUNTIF($A$8:$A15,1),"")</f>
        <v/>
      </c>
      <c r="F15" s="118" t="s">
        <v>2998</v>
      </c>
      <c r="G15" s="64" t="s">
        <v>2924</v>
      </c>
      <c r="H15" s="107" t="s">
        <v>3012</v>
      </c>
      <c r="I15" s="107"/>
      <c r="J15" s="108">
        <v>1</v>
      </c>
      <c r="K15" s="85">
        <f>'Driving Code'!N13</f>
        <v>0</v>
      </c>
      <c r="L15" s="70">
        <v>0</v>
      </c>
      <c r="M15" s="61"/>
      <c r="N15" s="61"/>
    </row>
    <row r="16" spans="1:15" ht="21" customHeight="1">
      <c r="A16" s="55">
        <f>--ISNUMBER(SEARCH('Driving Code'!$B$2,F16))</f>
        <v>0</v>
      </c>
      <c r="B16" s="55" t="str">
        <f>IF(A16=1,COUNTIF($A$8:$A16,1),"")</f>
        <v/>
      </c>
      <c r="F16" s="118" t="s">
        <v>2998</v>
      </c>
      <c r="G16" s="64" t="s">
        <v>2924</v>
      </c>
      <c r="H16" s="107" t="s">
        <v>3012</v>
      </c>
      <c r="I16" s="107"/>
      <c r="J16" s="108">
        <v>1</v>
      </c>
      <c r="K16" s="85">
        <f>'Driving Code'!N14</f>
        <v>0</v>
      </c>
      <c r="L16" s="70">
        <v>0</v>
      </c>
      <c r="M16" s="61"/>
      <c r="N16" s="61"/>
    </row>
    <row r="17" spans="1:14" ht="21" customHeight="1">
      <c r="A17" s="55">
        <f>--ISNUMBER(SEARCH('Driving Code'!$B$2,F17))</f>
        <v>0</v>
      </c>
      <c r="B17" s="55" t="str">
        <f>IF(A17=1,COUNTIF($A$8:$A17,1),"")</f>
        <v/>
      </c>
      <c r="F17" s="118" t="s">
        <v>2998</v>
      </c>
      <c r="G17" s="64" t="s">
        <v>2924</v>
      </c>
      <c r="H17" s="107" t="s">
        <v>3012</v>
      </c>
      <c r="I17" s="107"/>
      <c r="J17" s="108">
        <v>1</v>
      </c>
      <c r="K17" s="85">
        <f>'Driving Code'!N15</f>
        <v>0</v>
      </c>
      <c r="L17" s="70">
        <v>0</v>
      </c>
      <c r="M17" s="61"/>
      <c r="N17" s="61"/>
    </row>
    <row r="18" spans="1:14" ht="21" customHeight="1">
      <c r="A18" s="55">
        <f>--ISNUMBER(SEARCH('Driving Code'!$B$2,F18))</f>
        <v>0</v>
      </c>
      <c r="B18" s="55" t="str">
        <f>IF(A18=1,COUNTIF($A$8:$A18,1),"")</f>
        <v/>
      </c>
      <c r="F18" s="118" t="s">
        <v>2998</v>
      </c>
      <c r="G18" s="64" t="s">
        <v>2924</v>
      </c>
      <c r="H18" s="107" t="s">
        <v>3012</v>
      </c>
      <c r="I18" s="107"/>
      <c r="J18" s="108">
        <v>1</v>
      </c>
      <c r="K18" s="85">
        <f>'Driving Code'!N16</f>
        <v>0</v>
      </c>
      <c r="L18" s="70">
        <v>0</v>
      </c>
      <c r="M18" s="61"/>
      <c r="N18" s="61"/>
    </row>
    <row r="19" spans="1:14" ht="21" customHeight="1">
      <c r="A19" s="55">
        <f>--ISNUMBER(SEARCH('Driving Code'!$B$2,F19))</f>
        <v>0</v>
      </c>
      <c r="B19" s="55" t="str">
        <f>IF(A19=1,COUNTIF($A$8:$A19,1),"")</f>
        <v/>
      </c>
      <c r="F19" s="118" t="s">
        <v>2998</v>
      </c>
      <c r="G19" s="64" t="s">
        <v>2924</v>
      </c>
      <c r="H19" s="107" t="s">
        <v>3012</v>
      </c>
      <c r="I19" s="107"/>
      <c r="J19" s="108">
        <v>1</v>
      </c>
      <c r="K19" s="85">
        <f>'Driving Code'!N17</f>
        <v>0</v>
      </c>
      <c r="L19" s="70">
        <v>0</v>
      </c>
      <c r="M19" s="61"/>
      <c r="N19" s="61"/>
    </row>
    <row r="20" spans="1:14" ht="21" customHeight="1">
      <c r="A20" s="55">
        <f>--ISNUMBER(SEARCH('Driving Code'!$B$2,F20))</f>
        <v>0</v>
      </c>
      <c r="B20" s="55" t="str">
        <f>IF(A20=1,COUNTIF($A$8:$A20,1),"")</f>
        <v/>
      </c>
      <c r="F20" s="118" t="s">
        <v>2998</v>
      </c>
      <c r="G20" s="64" t="s">
        <v>2924</v>
      </c>
      <c r="H20" s="107" t="s">
        <v>3012</v>
      </c>
      <c r="I20" s="107"/>
      <c r="J20" s="109">
        <v>1</v>
      </c>
      <c r="K20" s="85">
        <f>'Driving Code'!N18</f>
        <v>0</v>
      </c>
      <c r="L20" s="71">
        <v>0</v>
      </c>
    </row>
    <row r="21" spans="1:14" ht="21" customHeight="1">
      <c r="A21" s="55">
        <f>--ISNUMBER(SEARCH('Driving Code'!$B$2,F21))</f>
        <v>0</v>
      </c>
      <c r="B21" s="55" t="str">
        <f>IF(A21=1,COUNTIF($A$8:$A21,1),"")</f>
        <v/>
      </c>
      <c r="F21" s="118" t="s">
        <v>2998</v>
      </c>
      <c r="G21" s="64" t="s">
        <v>2924</v>
      </c>
      <c r="H21" s="107" t="s">
        <v>3012</v>
      </c>
      <c r="I21" s="107"/>
      <c r="J21" s="109">
        <v>1</v>
      </c>
      <c r="K21" s="85">
        <f>'Driving Code'!N19</f>
        <v>0</v>
      </c>
      <c r="L21" s="71">
        <v>0</v>
      </c>
    </row>
    <row r="22" spans="1:14" ht="21" customHeight="1">
      <c r="A22" s="55">
        <f>--ISNUMBER(SEARCH('Driving Code'!$B$2,F22))</f>
        <v>0</v>
      </c>
      <c r="B22" s="55" t="str">
        <f>IF(A22=1,COUNTIF($A$8:$A22,1),"")</f>
        <v/>
      </c>
      <c r="F22" s="118" t="s">
        <v>2998</v>
      </c>
      <c r="G22" s="64" t="s">
        <v>2924</v>
      </c>
      <c r="H22" s="107" t="s">
        <v>3012</v>
      </c>
      <c r="I22" s="107"/>
      <c r="J22" s="109">
        <v>1</v>
      </c>
      <c r="K22" s="85">
        <f>'Driving Code'!N20</f>
        <v>0</v>
      </c>
      <c r="L22" s="71">
        <v>0</v>
      </c>
    </row>
    <row r="23" spans="1:14" ht="21" customHeight="1">
      <c r="A23" s="55">
        <f>--ISNUMBER(SEARCH('Driving Code'!$B$2,F23))</f>
        <v>0</v>
      </c>
      <c r="B23" s="55" t="str">
        <f>IF(A23=1,COUNTIF($A$8:$A23,1),"")</f>
        <v/>
      </c>
      <c r="F23" s="118" t="s">
        <v>2998</v>
      </c>
      <c r="G23" s="64" t="s">
        <v>2924</v>
      </c>
      <c r="H23" s="107" t="s">
        <v>3012</v>
      </c>
      <c r="I23" s="107"/>
      <c r="J23" s="109">
        <v>1</v>
      </c>
      <c r="K23" s="85">
        <f>'Driving Code'!N21</f>
        <v>0</v>
      </c>
      <c r="L23" s="71">
        <v>0</v>
      </c>
    </row>
    <row r="24" spans="1:14" ht="21" customHeight="1">
      <c r="A24" s="55">
        <f>--ISNUMBER(SEARCH('Driving Code'!$B$2,F24))</f>
        <v>0</v>
      </c>
      <c r="B24" s="55" t="str">
        <f>IF(A24=1,COUNTIF($A$8:$A24,1),"")</f>
        <v/>
      </c>
      <c r="F24" s="118" t="s">
        <v>2998</v>
      </c>
      <c r="G24" s="64" t="s">
        <v>2924</v>
      </c>
      <c r="H24" s="107" t="s">
        <v>3012</v>
      </c>
      <c r="I24" s="107"/>
      <c r="J24" s="109">
        <v>1</v>
      </c>
      <c r="K24" s="85">
        <f>'Driving Code'!N22</f>
        <v>0</v>
      </c>
      <c r="L24" s="71">
        <v>0</v>
      </c>
    </row>
    <row r="25" spans="1:14" ht="21" customHeight="1">
      <c r="A25" s="55">
        <f>--ISNUMBER(SEARCH('Driving Code'!$B$2,F25))</f>
        <v>0</v>
      </c>
      <c r="B25" s="55" t="str">
        <f>IF(A25=1,COUNTIF($A$8:$A25,1),"")</f>
        <v/>
      </c>
      <c r="F25" s="118" t="s">
        <v>2998</v>
      </c>
      <c r="G25" s="64" t="s">
        <v>2924</v>
      </c>
      <c r="H25" s="107" t="s">
        <v>3012</v>
      </c>
      <c r="I25" s="107"/>
      <c r="J25" s="109">
        <v>1</v>
      </c>
      <c r="K25" s="85">
        <f>'Driving Code'!N23</f>
        <v>0</v>
      </c>
      <c r="L25" s="71">
        <v>0</v>
      </c>
    </row>
    <row r="26" spans="1:14" ht="21" customHeight="1">
      <c r="A26" s="55">
        <f>--ISNUMBER(SEARCH('Driving Code'!$B$2,F26))</f>
        <v>0</v>
      </c>
      <c r="B26" s="55" t="str">
        <f>IF(A26=1,COUNTIF($A$8:$A26,1),"")</f>
        <v/>
      </c>
      <c r="F26" s="118" t="s">
        <v>2998</v>
      </c>
      <c r="G26" s="64" t="s">
        <v>2924</v>
      </c>
      <c r="H26" s="107" t="s">
        <v>3012</v>
      </c>
      <c r="I26" s="107"/>
      <c r="J26" s="109">
        <v>1</v>
      </c>
      <c r="K26" s="85">
        <f>'Driving Code'!N24</f>
        <v>0</v>
      </c>
      <c r="L26" s="71">
        <v>0</v>
      </c>
    </row>
    <row r="27" spans="1:14" ht="21" customHeight="1">
      <c r="A27" s="55">
        <f>--ISNUMBER(SEARCH('Driving Code'!$B$2,F27))</f>
        <v>0</v>
      </c>
      <c r="B27" s="55" t="str">
        <f>IF(A27=1,COUNTIF($A$8:$A27,1),"")</f>
        <v/>
      </c>
      <c r="F27" s="118" t="s">
        <v>2998</v>
      </c>
      <c r="G27" s="64" t="s">
        <v>2924</v>
      </c>
      <c r="H27" s="107" t="s">
        <v>3012</v>
      </c>
      <c r="I27" s="107"/>
      <c r="J27" s="109">
        <v>1</v>
      </c>
      <c r="K27" s="85">
        <f>'Driving Code'!N25</f>
        <v>0</v>
      </c>
      <c r="L27" s="71">
        <v>0</v>
      </c>
    </row>
    <row r="28" spans="1:14" ht="21" customHeight="1">
      <c r="A28" s="55">
        <f>--ISNUMBER(SEARCH('Driving Code'!$B$2,F28))</f>
        <v>0</v>
      </c>
      <c r="B28" s="55" t="str">
        <f>IF(A28=1,COUNTIF($A$8:$A28,1),"")</f>
        <v/>
      </c>
      <c r="F28" s="118" t="s">
        <v>2998</v>
      </c>
      <c r="G28" s="64" t="s">
        <v>2924</v>
      </c>
      <c r="H28" s="107" t="s">
        <v>3012</v>
      </c>
      <c r="I28" s="107"/>
      <c r="J28" s="109">
        <v>1</v>
      </c>
      <c r="K28" s="85">
        <f>'Driving Code'!N26</f>
        <v>0</v>
      </c>
      <c r="L28" s="71">
        <v>0</v>
      </c>
    </row>
    <row r="29" spans="1:14" ht="21" customHeight="1">
      <c r="A29" s="55">
        <f>--ISNUMBER(SEARCH('Driving Code'!$B$2,F29))</f>
        <v>0</v>
      </c>
      <c r="B29" s="55" t="str">
        <f>IF(A29=1,COUNTIF($A$8:$A29,1),"")</f>
        <v/>
      </c>
      <c r="F29" s="118" t="s">
        <v>2998</v>
      </c>
      <c r="G29" s="64" t="s">
        <v>2924</v>
      </c>
      <c r="H29" s="107" t="s">
        <v>3012</v>
      </c>
      <c r="I29" s="107"/>
      <c r="J29" s="109">
        <v>1</v>
      </c>
      <c r="K29" s="85">
        <f>'Driving Code'!N27</f>
        <v>0</v>
      </c>
      <c r="L29" s="71">
        <v>0</v>
      </c>
    </row>
    <row r="30" spans="1:14" ht="21" customHeight="1">
      <c r="A30" s="55">
        <f>--ISNUMBER(SEARCH('Driving Code'!$B$2,F30))</f>
        <v>0</v>
      </c>
      <c r="B30" s="55" t="str">
        <f>IF(A30=1,COUNTIF($A$8:$A30,1),"")</f>
        <v/>
      </c>
      <c r="F30" s="118" t="s">
        <v>2998</v>
      </c>
      <c r="G30" s="64" t="s">
        <v>2924</v>
      </c>
      <c r="H30" s="107" t="s">
        <v>3012</v>
      </c>
      <c r="I30" s="107"/>
      <c r="J30" s="109">
        <v>1</v>
      </c>
      <c r="K30" s="85">
        <f>'Driving Code'!N28</f>
        <v>0</v>
      </c>
      <c r="L30" s="71">
        <v>0</v>
      </c>
    </row>
    <row r="31" spans="1:14" ht="21" customHeight="1">
      <c r="A31" s="55">
        <f>--ISNUMBER(SEARCH('Driving Code'!$B$2,F31))</f>
        <v>0</v>
      </c>
      <c r="B31" s="55" t="str">
        <f>IF(A31=1,COUNTIF($A$8:$A31,1),"")</f>
        <v/>
      </c>
      <c r="F31" s="118" t="s">
        <v>2998</v>
      </c>
      <c r="G31" s="64" t="s">
        <v>2924</v>
      </c>
      <c r="H31" s="107" t="s">
        <v>3012</v>
      </c>
      <c r="I31" s="107"/>
      <c r="J31" s="109">
        <v>1</v>
      </c>
      <c r="K31" s="85">
        <f>'Driving Code'!N29</f>
        <v>0</v>
      </c>
      <c r="L31" s="71">
        <v>0</v>
      </c>
    </row>
    <row r="32" spans="1:14" ht="21" customHeight="1">
      <c r="A32" s="55">
        <f>--ISNUMBER(SEARCH('Driving Code'!$B$2,F32))</f>
        <v>0</v>
      </c>
      <c r="B32" s="55" t="str">
        <f>IF(A32=1,COUNTIF($A$8:$A32,1),"")</f>
        <v/>
      </c>
      <c r="F32" s="118" t="s">
        <v>2998</v>
      </c>
      <c r="G32" s="64" t="s">
        <v>2924</v>
      </c>
      <c r="H32" s="107" t="s">
        <v>3012</v>
      </c>
      <c r="I32" s="107"/>
      <c r="J32" s="109">
        <v>1</v>
      </c>
      <c r="K32" s="85">
        <f>'Driving Code'!N30</f>
        <v>0</v>
      </c>
      <c r="L32" s="71">
        <v>0</v>
      </c>
    </row>
    <row r="33" spans="1:12" ht="21" customHeight="1">
      <c r="A33" s="55">
        <f>--ISNUMBER(SEARCH('Driving Code'!$B$2,F33))</f>
        <v>0</v>
      </c>
      <c r="B33" s="55" t="str">
        <f>IF(A33=1,COUNTIF($A$8:$A33,1),"")</f>
        <v/>
      </c>
      <c r="F33" s="118" t="s">
        <v>2998</v>
      </c>
      <c r="G33" s="64" t="s">
        <v>2924</v>
      </c>
      <c r="H33" s="107" t="s">
        <v>3012</v>
      </c>
      <c r="I33" s="107"/>
      <c r="J33" s="109">
        <v>1</v>
      </c>
      <c r="K33" s="85">
        <f>'Driving Code'!N31</f>
        <v>0</v>
      </c>
      <c r="L33" s="71">
        <v>0</v>
      </c>
    </row>
    <row r="34" spans="1:12" ht="21" customHeight="1">
      <c r="A34" s="55">
        <f>--ISNUMBER(SEARCH('Driving Code'!$B$2,F34))</f>
        <v>0</v>
      </c>
      <c r="B34" s="55" t="str">
        <f>IF(A34=1,COUNTIF($A$8:$A34,1),"")</f>
        <v/>
      </c>
      <c r="F34" s="118" t="s">
        <v>2998</v>
      </c>
      <c r="G34" s="64" t="s">
        <v>2924</v>
      </c>
      <c r="H34" s="107" t="s">
        <v>3012</v>
      </c>
      <c r="I34" s="107"/>
      <c r="J34" s="109">
        <v>1</v>
      </c>
      <c r="K34" s="85">
        <f>'Driving Code'!N32</f>
        <v>0</v>
      </c>
      <c r="L34" s="71">
        <v>0</v>
      </c>
    </row>
    <row r="35" spans="1:12" ht="21" customHeight="1">
      <c r="A35" s="55">
        <f>--ISNUMBER(SEARCH('Driving Code'!$B$2,F35))</f>
        <v>0</v>
      </c>
      <c r="B35" s="55" t="str">
        <f>IF(A35=1,COUNTIF($A$8:$A35,1),"")</f>
        <v/>
      </c>
      <c r="F35" s="118" t="s">
        <v>2998</v>
      </c>
      <c r="G35" s="64" t="s">
        <v>2924</v>
      </c>
      <c r="H35" s="107" t="s">
        <v>3012</v>
      </c>
      <c r="I35" s="107"/>
      <c r="J35" s="109">
        <v>1</v>
      </c>
      <c r="K35" s="85">
        <f>'Driving Code'!N33</f>
        <v>0</v>
      </c>
      <c r="L35" s="71">
        <v>0</v>
      </c>
    </row>
    <row r="36" spans="1:12" ht="21" customHeight="1">
      <c r="A36" s="55">
        <f>--ISNUMBER(SEARCH('Driving Code'!$B$2,F36))</f>
        <v>0</v>
      </c>
      <c r="B36" s="55" t="str">
        <f>IF(A36=1,COUNTIF($A$8:$A36,1),"")</f>
        <v/>
      </c>
      <c r="F36" s="118" t="s">
        <v>2998</v>
      </c>
      <c r="G36" s="64" t="s">
        <v>2924</v>
      </c>
      <c r="H36" s="107" t="s">
        <v>3012</v>
      </c>
      <c r="I36" s="107"/>
      <c r="J36" s="109">
        <v>1</v>
      </c>
      <c r="K36" s="85">
        <f>'Driving Code'!N34</f>
        <v>0</v>
      </c>
      <c r="L36" s="71">
        <v>0</v>
      </c>
    </row>
    <row r="37" spans="1:12" ht="21" customHeight="1">
      <c r="A37" s="55">
        <f>--ISNUMBER(SEARCH('Driving Code'!$B$2,F37))</f>
        <v>0</v>
      </c>
      <c r="B37" s="55" t="str">
        <f>IF(A37=1,COUNTIF($A$8:$A37,1),"")</f>
        <v/>
      </c>
      <c r="F37" s="118" t="s">
        <v>2998</v>
      </c>
      <c r="G37" s="64" t="s">
        <v>2924</v>
      </c>
      <c r="H37" s="107" t="s">
        <v>3012</v>
      </c>
      <c r="I37" s="107"/>
      <c r="J37" s="109">
        <v>1</v>
      </c>
      <c r="K37" s="85">
        <f>'Driving Code'!N35</f>
        <v>0</v>
      </c>
      <c r="L37" s="71">
        <v>0</v>
      </c>
    </row>
    <row r="38" spans="1:12" ht="21" hidden="1" customHeight="1" thickTop="1">
      <c r="A38" s="55">
        <f>--ISNUMBER(SEARCH('Driving Code'!$B$2,F38))</f>
        <v>0</v>
      </c>
      <c r="B38" s="55" t="str">
        <f>IF(A38=1,COUNTIF($A$8:$A38,1),"")</f>
        <v/>
      </c>
      <c r="F38" s="118" t="s">
        <v>2998</v>
      </c>
      <c r="G38" s="81" t="s">
        <v>3017</v>
      </c>
      <c r="H38" s="110" t="s">
        <v>3012</v>
      </c>
      <c r="I38" s="110"/>
      <c r="J38" s="97">
        <v>1</v>
      </c>
      <c r="K38" s="86">
        <v>0</v>
      </c>
      <c r="L38" s="71">
        <v>0</v>
      </c>
    </row>
    <row r="39" spans="1:12" ht="21" hidden="1" customHeight="1">
      <c r="A39" s="55">
        <f>--ISNUMBER(SEARCH('Driving Code'!$B$2,F39))</f>
        <v>0</v>
      </c>
      <c r="B39" s="55" t="str">
        <f>IF(A39=1,COUNTIF($A$8:$A39,1),"")</f>
        <v/>
      </c>
      <c r="F39" s="118" t="s">
        <v>2998</v>
      </c>
      <c r="G39" s="81" t="s">
        <v>3017</v>
      </c>
      <c r="H39" s="110" t="s">
        <v>3012</v>
      </c>
      <c r="I39" s="110"/>
      <c r="J39" s="69">
        <v>1</v>
      </c>
      <c r="K39" s="86">
        <v>0</v>
      </c>
      <c r="L39" s="71">
        <v>0</v>
      </c>
    </row>
    <row r="40" spans="1:12" ht="21" hidden="1" customHeight="1">
      <c r="A40" s="55">
        <f>--ISNUMBER(SEARCH('Driving Code'!$B$2,F40))</f>
        <v>0</v>
      </c>
      <c r="B40" s="55" t="str">
        <f>IF(A40=1,COUNTIF($A$8:$A40,1),"")</f>
        <v/>
      </c>
      <c r="F40" s="118" t="s">
        <v>2998</v>
      </c>
      <c r="G40" s="81" t="s">
        <v>3017</v>
      </c>
      <c r="H40" s="110" t="s">
        <v>3012</v>
      </c>
      <c r="I40" s="110"/>
      <c r="J40" s="69">
        <v>1</v>
      </c>
      <c r="K40" s="86">
        <v>0</v>
      </c>
      <c r="L40" s="71">
        <v>0</v>
      </c>
    </row>
    <row r="41" spans="1:12" ht="21" hidden="1" customHeight="1">
      <c r="A41" s="55">
        <f>--ISNUMBER(SEARCH('Driving Code'!$B$2,F41))</f>
        <v>0</v>
      </c>
      <c r="B41" s="55" t="str">
        <f>IF(A41=1,COUNTIF($A$8:$A41,1),"")</f>
        <v/>
      </c>
      <c r="F41" s="118" t="s">
        <v>2998</v>
      </c>
      <c r="G41" s="81" t="s">
        <v>3017</v>
      </c>
      <c r="H41" s="110" t="s">
        <v>3012</v>
      </c>
      <c r="I41" s="110"/>
      <c r="J41" s="69">
        <v>1</v>
      </c>
      <c r="K41" s="86">
        <v>0</v>
      </c>
      <c r="L41" s="71">
        <v>0</v>
      </c>
    </row>
    <row r="42" spans="1:12" ht="21" hidden="1" customHeight="1">
      <c r="A42" s="55">
        <f>--ISNUMBER(SEARCH('Driving Code'!$B$2,F42))</f>
        <v>0</v>
      </c>
      <c r="B42" s="55" t="str">
        <f>IF(A42=1,COUNTIF($A$8:$A42,1),"")</f>
        <v/>
      </c>
      <c r="F42" s="118" t="s">
        <v>2998</v>
      </c>
      <c r="G42" s="81" t="s">
        <v>3017</v>
      </c>
      <c r="H42" s="110" t="s">
        <v>3012</v>
      </c>
      <c r="I42" s="110"/>
      <c r="J42" s="69">
        <v>1</v>
      </c>
      <c r="K42" s="86">
        <v>0</v>
      </c>
      <c r="L42" s="71">
        <v>0</v>
      </c>
    </row>
    <row r="43" spans="1:12" ht="21" hidden="1" customHeight="1">
      <c r="A43" s="55">
        <f>--ISNUMBER(SEARCH('Driving Code'!$B$2,F43))</f>
        <v>0</v>
      </c>
      <c r="B43" s="55" t="str">
        <f>IF(A43=1,COUNTIF($A$8:$A43,1),"")</f>
        <v/>
      </c>
      <c r="F43" s="118" t="s">
        <v>2998</v>
      </c>
      <c r="G43" s="81" t="s">
        <v>3017</v>
      </c>
      <c r="H43" s="110" t="s">
        <v>3012</v>
      </c>
      <c r="I43" s="110"/>
      <c r="J43" s="69">
        <v>1</v>
      </c>
      <c r="K43" s="86">
        <v>0</v>
      </c>
      <c r="L43" s="71">
        <v>0</v>
      </c>
    </row>
    <row r="44" spans="1:12" ht="21" hidden="1" customHeight="1">
      <c r="A44" s="55">
        <f>--ISNUMBER(SEARCH('Driving Code'!$B$2,F44))</f>
        <v>0</v>
      </c>
      <c r="B44" s="55" t="str">
        <f>IF(A44=1,COUNTIF($A$8:$A44,1),"")</f>
        <v/>
      </c>
      <c r="F44" s="118" t="s">
        <v>2998</v>
      </c>
      <c r="G44" s="81" t="s">
        <v>3017</v>
      </c>
      <c r="H44" s="110" t="s">
        <v>3012</v>
      </c>
      <c r="I44" s="110"/>
      <c r="J44" s="69">
        <v>1</v>
      </c>
      <c r="K44" s="86">
        <v>0</v>
      </c>
      <c r="L44" s="71">
        <v>0</v>
      </c>
    </row>
    <row r="45" spans="1:12" ht="21" hidden="1" customHeight="1">
      <c r="A45" s="55">
        <f>--ISNUMBER(SEARCH('Driving Code'!$B$2,F45))</f>
        <v>0</v>
      </c>
      <c r="B45" s="55" t="str">
        <f>IF(A45=1,COUNTIF($A$8:$A45,1),"")</f>
        <v/>
      </c>
      <c r="F45" s="118" t="s">
        <v>2998</v>
      </c>
      <c r="G45" s="81" t="s">
        <v>3017</v>
      </c>
      <c r="H45" s="110" t="s">
        <v>3012</v>
      </c>
      <c r="I45" s="110"/>
      <c r="J45" s="69">
        <v>1</v>
      </c>
      <c r="K45" s="86">
        <v>0</v>
      </c>
      <c r="L45" s="71">
        <v>0</v>
      </c>
    </row>
    <row r="46" spans="1:12" ht="21" hidden="1" customHeight="1">
      <c r="A46" s="55">
        <f>--ISNUMBER(SEARCH('Driving Code'!$B$2,F46))</f>
        <v>0</v>
      </c>
      <c r="B46" s="55" t="str">
        <f>IF(A46=1,COUNTIF($A$8:$A46,1),"")</f>
        <v/>
      </c>
      <c r="F46" s="118" t="s">
        <v>2998</v>
      </c>
      <c r="G46" s="81" t="s">
        <v>3017</v>
      </c>
      <c r="H46" s="110" t="s">
        <v>3012</v>
      </c>
      <c r="I46" s="110"/>
      <c r="J46" s="69">
        <v>1</v>
      </c>
      <c r="K46" s="86">
        <v>0</v>
      </c>
      <c r="L46" s="71">
        <v>0</v>
      </c>
    </row>
    <row r="47" spans="1:12" ht="21" hidden="1" customHeight="1">
      <c r="A47" s="55">
        <f>--ISNUMBER(SEARCH('Driving Code'!$B$2,F47))</f>
        <v>0</v>
      </c>
      <c r="B47" s="55" t="str">
        <f>IF(A47=1,COUNTIF($A$8:$A47,1),"")</f>
        <v/>
      </c>
      <c r="F47" s="118" t="s">
        <v>2998</v>
      </c>
      <c r="G47" s="81" t="s">
        <v>3017</v>
      </c>
      <c r="H47" s="110" t="s">
        <v>3012</v>
      </c>
      <c r="I47" s="110"/>
      <c r="J47" s="69">
        <v>1</v>
      </c>
      <c r="K47" s="86">
        <v>0</v>
      </c>
      <c r="L47" s="71">
        <v>0</v>
      </c>
    </row>
    <row r="48" spans="1:12" ht="21" customHeight="1">
      <c r="A48" s="55">
        <f>--ISNUMBER(SEARCH('Driving Code'!$B$2,F48))</f>
        <v>0</v>
      </c>
      <c r="B48" s="55" t="str">
        <f>IF(A48=1,COUNTIF($A$8:$A48,1),"")</f>
        <v/>
      </c>
      <c r="F48" s="118" t="s">
        <v>2998</v>
      </c>
      <c r="G48" s="145" t="s">
        <v>3124</v>
      </c>
      <c r="H48" s="146" t="s">
        <v>3012</v>
      </c>
      <c r="I48" s="146"/>
      <c r="J48" s="147">
        <v>1</v>
      </c>
      <c r="K48" s="148">
        <v>0</v>
      </c>
      <c r="L48" s="88">
        <f>SUM((J48*K48)*(1+$K$4))</f>
        <v>0</v>
      </c>
    </row>
    <row r="49" spans="1:12" ht="21" customHeight="1">
      <c r="A49" s="55">
        <f>--ISNUMBER(SEARCH('Driving Code'!$B$2,F49))</f>
        <v>0</v>
      </c>
      <c r="B49" s="55" t="str">
        <f>IF(A49=1,COUNTIF($A$8:$A49,1),"")</f>
        <v/>
      </c>
      <c r="F49" s="118" t="s">
        <v>2998</v>
      </c>
      <c r="G49" s="145" t="s">
        <v>3124</v>
      </c>
      <c r="H49" s="146" t="s">
        <v>3012</v>
      </c>
      <c r="I49" s="146"/>
      <c r="J49" s="147">
        <v>1</v>
      </c>
      <c r="K49" s="148">
        <v>0</v>
      </c>
      <c r="L49" s="88">
        <f t="shared" ref="L49:L62" si="0">SUM((J49*K49)*(1+$K$4))</f>
        <v>0</v>
      </c>
    </row>
    <row r="50" spans="1:12" ht="21" customHeight="1">
      <c r="A50" s="55">
        <f>--ISNUMBER(SEARCH('Driving Code'!$B$2,F50))</f>
        <v>0</v>
      </c>
      <c r="B50" s="55" t="str">
        <f>IF(A50=1,COUNTIF($A$8:$A50,1),"")</f>
        <v/>
      </c>
      <c r="F50" s="118" t="s">
        <v>2998</v>
      </c>
      <c r="G50" s="145" t="s">
        <v>3124</v>
      </c>
      <c r="H50" s="146" t="s">
        <v>3012</v>
      </c>
      <c r="I50" s="146"/>
      <c r="J50" s="147">
        <v>1</v>
      </c>
      <c r="K50" s="148">
        <v>0</v>
      </c>
      <c r="L50" s="88">
        <f t="shared" si="0"/>
        <v>0</v>
      </c>
    </row>
    <row r="51" spans="1:12" ht="21" customHeight="1">
      <c r="A51" s="55">
        <f>--ISNUMBER(SEARCH('Driving Code'!$B$2,F51))</f>
        <v>0</v>
      </c>
      <c r="B51" s="55" t="str">
        <f>IF(A51=1,COUNTIF($A$8:$A51,1),"")</f>
        <v/>
      </c>
      <c r="F51" s="118" t="s">
        <v>2998</v>
      </c>
      <c r="G51" s="145" t="s">
        <v>3124</v>
      </c>
      <c r="H51" s="146" t="s">
        <v>3012</v>
      </c>
      <c r="I51" s="146"/>
      <c r="J51" s="147">
        <v>1</v>
      </c>
      <c r="K51" s="148">
        <v>0</v>
      </c>
      <c r="L51" s="88">
        <f t="shared" si="0"/>
        <v>0</v>
      </c>
    </row>
    <row r="52" spans="1:12" ht="21" customHeight="1">
      <c r="A52" s="55">
        <f>--ISNUMBER(SEARCH('Driving Code'!$B$2,F52))</f>
        <v>0</v>
      </c>
      <c r="B52" s="55" t="str">
        <f>IF(A52=1,COUNTIF($A$8:$A52,1),"")</f>
        <v/>
      </c>
      <c r="F52" s="118" t="s">
        <v>2998</v>
      </c>
      <c r="G52" s="145" t="s">
        <v>3124</v>
      </c>
      <c r="H52" s="146" t="s">
        <v>3012</v>
      </c>
      <c r="I52" s="146"/>
      <c r="J52" s="147">
        <v>1</v>
      </c>
      <c r="K52" s="148">
        <v>0</v>
      </c>
      <c r="L52" s="88">
        <f t="shared" si="0"/>
        <v>0</v>
      </c>
    </row>
    <row r="53" spans="1:12" ht="21" customHeight="1">
      <c r="A53" s="55">
        <f>--ISNUMBER(SEARCH('Driving Code'!$B$2,F53))</f>
        <v>0</v>
      </c>
      <c r="B53" s="55" t="str">
        <f>IF(A53=1,COUNTIF($A$8:$A53,1),"")</f>
        <v/>
      </c>
      <c r="F53" s="118" t="s">
        <v>2998</v>
      </c>
      <c r="G53" s="145" t="s">
        <v>3124</v>
      </c>
      <c r="H53" s="146" t="s">
        <v>3012</v>
      </c>
      <c r="I53" s="146"/>
      <c r="J53" s="147">
        <v>1</v>
      </c>
      <c r="K53" s="148">
        <v>0</v>
      </c>
      <c r="L53" s="88">
        <f t="shared" si="0"/>
        <v>0</v>
      </c>
    </row>
    <row r="54" spans="1:12" ht="21" customHeight="1">
      <c r="A54" s="55">
        <f>--ISNUMBER(SEARCH('Driving Code'!$B$2,F54))</f>
        <v>0</v>
      </c>
      <c r="B54" s="55" t="str">
        <f>IF(A54=1,COUNTIF($A$8:$A54,1),"")</f>
        <v/>
      </c>
      <c r="F54" s="118" t="s">
        <v>2998</v>
      </c>
      <c r="G54" s="145" t="s">
        <v>3124</v>
      </c>
      <c r="H54" s="146" t="s">
        <v>3012</v>
      </c>
      <c r="I54" s="146"/>
      <c r="J54" s="147">
        <v>1</v>
      </c>
      <c r="K54" s="148">
        <v>0</v>
      </c>
      <c r="L54" s="88">
        <f t="shared" si="0"/>
        <v>0</v>
      </c>
    </row>
    <row r="55" spans="1:12" ht="21" customHeight="1">
      <c r="A55" s="55">
        <f>--ISNUMBER(SEARCH('Driving Code'!$B$2,F55))</f>
        <v>0</v>
      </c>
      <c r="B55" s="55" t="str">
        <f>IF(A55=1,COUNTIF($A$8:$A55,1),"")</f>
        <v/>
      </c>
      <c r="F55" s="118" t="s">
        <v>2998</v>
      </c>
      <c r="G55" s="145" t="s">
        <v>3124</v>
      </c>
      <c r="H55" s="146" t="s">
        <v>3012</v>
      </c>
      <c r="I55" s="146"/>
      <c r="J55" s="147">
        <v>1</v>
      </c>
      <c r="K55" s="148">
        <v>0</v>
      </c>
      <c r="L55" s="88">
        <f t="shared" si="0"/>
        <v>0</v>
      </c>
    </row>
    <row r="56" spans="1:12" ht="21" customHeight="1">
      <c r="A56" s="55">
        <f>--ISNUMBER(SEARCH('Driving Code'!$B$2,F56))</f>
        <v>0</v>
      </c>
      <c r="B56" s="55" t="str">
        <f>IF(A56=1,COUNTIF($A$8:$A56,1),"")</f>
        <v/>
      </c>
      <c r="F56" s="118" t="s">
        <v>2998</v>
      </c>
      <c r="G56" s="145" t="s">
        <v>3124</v>
      </c>
      <c r="H56" s="146" t="s">
        <v>3012</v>
      </c>
      <c r="I56" s="146"/>
      <c r="J56" s="147">
        <v>1</v>
      </c>
      <c r="K56" s="148">
        <v>0</v>
      </c>
      <c r="L56" s="88">
        <f t="shared" si="0"/>
        <v>0</v>
      </c>
    </row>
    <row r="57" spans="1:12" ht="21" customHeight="1">
      <c r="A57" s="55">
        <f>--ISNUMBER(SEARCH('Driving Code'!$B$2,F57))</f>
        <v>0</v>
      </c>
      <c r="B57" s="55" t="str">
        <f>IF(A57=1,COUNTIF($A$8:$A57,1),"")</f>
        <v/>
      </c>
      <c r="F57" s="118" t="s">
        <v>2998</v>
      </c>
      <c r="G57" s="145" t="s">
        <v>3124</v>
      </c>
      <c r="H57" s="146" t="s">
        <v>3012</v>
      </c>
      <c r="I57" s="146"/>
      <c r="J57" s="147">
        <v>1</v>
      </c>
      <c r="K57" s="148">
        <v>0</v>
      </c>
      <c r="L57" s="88">
        <f t="shared" si="0"/>
        <v>0</v>
      </c>
    </row>
    <row r="58" spans="1:12" ht="21" customHeight="1">
      <c r="A58" s="55">
        <f>--ISNUMBER(SEARCH('Driving Code'!$B$2,F58))</f>
        <v>0</v>
      </c>
      <c r="B58" s="55" t="str">
        <f>IF(A58=1,COUNTIF($A$8:$A58,1),"")</f>
        <v/>
      </c>
      <c r="F58" s="118" t="s">
        <v>2998</v>
      </c>
      <c r="G58" s="145" t="s">
        <v>3124</v>
      </c>
      <c r="H58" s="146" t="s">
        <v>3012</v>
      </c>
      <c r="I58" s="146"/>
      <c r="J58" s="147">
        <v>1</v>
      </c>
      <c r="K58" s="148">
        <v>0</v>
      </c>
      <c r="L58" s="88">
        <f t="shared" si="0"/>
        <v>0</v>
      </c>
    </row>
    <row r="59" spans="1:12" ht="21" customHeight="1">
      <c r="A59" s="55">
        <f>--ISNUMBER(SEARCH('Driving Code'!$B$2,F59))</f>
        <v>0</v>
      </c>
      <c r="B59" s="55" t="str">
        <f>IF(A59=1,COUNTIF($A$8:$A59,1),"")</f>
        <v/>
      </c>
      <c r="F59" s="118" t="s">
        <v>2998</v>
      </c>
      <c r="G59" s="145" t="s">
        <v>3124</v>
      </c>
      <c r="H59" s="146" t="s">
        <v>3012</v>
      </c>
      <c r="I59" s="146"/>
      <c r="J59" s="147">
        <v>1</v>
      </c>
      <c r="K59" s="148">
        <v>0</v>
      </c>
      <c r="L59" s="88">
        <f t="shared" si="0"/>
        <v>0</v>
      </c>
    </row>
    <row r="60" spans="1:12" ht="21" customHeight="1">
      <c r="A60" s="55">
        <f>--ISNUMBER(SEARCH('Driving Code'!$B$2,F60))</f>
        <v>0</v>
      </c>
      <c r="B60" s="55" t="str">
        <f>IF(A60=1,COUNTIF($A$8:$A60,1),"")</f>
        <v/>
      </c>
      <c r="F60" s="118" t="s">
        <v>2998</v>
      </c>
      <c r="G60" s="145" t="s">
        <v>3124</v>
      </c>
      <c r="H60" s="146" t="s">
        <v>3012</v>
      </c>
      <c r="I60" s="146"/>
      <c r="J60" s="147">
        <v>1</v>
      </c>
      <c r="K60" s="148">
        <v>0</v>
      </c>
      <c r="L60" s="88">
        <f t="shared" si="0"/>
        <v>0</v>
      </c>
    </row>
    <row r="61" spans="1:12" ht="21" customHeight="1">
      <c r="A61" s="55">
        <f>--ISNUMBER(SEARCH('Driving Code'!$B$2,F61))</f>
        <v>0</v>
      </c>
      <c r="B61" s="55" t="str">
        <f>IF(A61=1,COUNTIF($A$8:$A61,1),"")</f>
        <v/>
      </c>
      <c r="F61" s="118" t="s">
        <v>2998</v>
      </c>
      <c r="G61" s="145" t="s">
        <v>3124</v>
      </c>
      <c r="H61" s="146" t="s">
        <v>3012</v>
      </c>
      <c r="I61" s="146"/>
      <c r="J61" s="147">
        <v>1</v>
      </c>
      <c r="K61" s="148">
        <v>0</v>
      </c>
      <c r="L61" s="88">
        <f t="shared" si="0"/>
        <v>0</v>
      </c>
    </row>
    <row r="62" spans="1:12" ht="21" customHeight="1">
      <c r="A62" s="55">
        <f>--ISNUMBER(SEARCH('Driving Code'!$B$2,F62))</f>
        <v>0</v>
      </c>
      <c r="B62" s="55" t="str">
        <f>IF(A62=1,COUNTIF($A$8:$A62,1),"")</f>
        <v/>
      </c>
      <c r="F62" s="118" t="s">
        <v>2998</v>
      </c>
      <c r="G62" s="145" t="s">
        <v>3124</v>
      </c>
      <c r="H62" s="146" t="s">
        <v>3012</v>
      </c>
      <c r="I62" s="146"/>
      <c r="J62" s="147">
        <v>1</v>
      </c>
      <c r="K62" s="148">
        <v>0</v>
      </c>
      <c r="L62" s="88">
        <f t="shared" si="0"/>
        <v>0</v>
      </c>
    </row>
    <row r="63" spans="1:12" ht="21" customHeight="1">
      <c r="A63" s="55">
        <f>--ISNUMBER(SEARCH('Driving Code'!$B$2,F63))</f>
        <v>0</v>
      </c>
      <c r="B63" s="55" t="str">
        <f>IF(A63=1,COUNTIF($A$8:$A63,1),"")</f>
        <v/>
      </c>
      <c r="F63" s="118" t="s">
        <v>2998</v>
      </c>
      <c r="G63" s="65" t="s">
        <v>2974</v>
      </c>
      <c r="H63" s="111" t="s">
        <v>3012</v>
      </c>
      <c r="I63" s="111"/>
      <c r="J63" s="112">
        <v>1</v>
      </c>
      <c r="K63" s="113">
        <v>0</v>
      </c>
      <c r="L63" s="88">
        <f t="shared" ref="L63:L77" si="1">J63*K63</f>
        <v>0</v>
      </c>
    </row>
    <row r="64" spans="1:12" ht="21" customHeight="1">
      <c r="A64" s="55">
        <f>--ISNUMBER(SEARCH('Driving Code'!$B$2,F64))</f>
        <v>0</v>
      </c>
      <c r="B64" s="55" t="str">
        <f>IF(A64=1,COUNTIF($A$8:$A64,1),"")</f>
        <v/>
      </c>
      <c r="F64" s="118" t="s">
        <v>2998</v>
      </c>
      <c r="G64" s="65" t="s">
        <v>2974</v>
      </c>
      <c r="H64" s="111" t="s">
        <v>3012</v>
      </c>
      <c r="I64" s="111"/>
      <c r="J64" s="112">
        <v>1</v>
      </c>
      <c r="K64" s="113">
        <v>0</v>
      </c>
      <c r="L64" s="88">
        <f t="shared" si="1"/>
        <v>0</v>
      </c>
    </row>
    <row r="65" spans="1:12" ht="21" customHeight="1">
      <c r="A65" s="55">
        <f>--ISNUMBER(SEARCH('Driving Code'!$B$2,F65))</f>
        <v>0</v>
      </c>
      <c r="B65" s="55" t="str">
        <f>IF(A65=1,COUNTIF($A$8:$A65,1),"")</f>
        <v/>
      </c>
      <c r="F65" s="118" t="s">
        <v>2998</v>
      </c>
      <c r="G65" s="65" t="s">
        <v>2974</v>
      </c>
      <c r="H65" s="111" t="s">
        <v>3012</v>
      </c>
      <c r="I65" s="111"/>
      <c r="J65" s="112">
        <v>1</v>
      </c>
      <c r="K65" s="113">
        <v>0</v>
      </c>
      <c r="L65" s="88">
        <f t="shared" si="1"/>
        <v>0</v>
      </c>
    </row>
    <row r="66" spans="1:12" ht="21" customHeight="1">
      <c r="A66" s="55">
        <f>--ISNUMBER(SEARCH('Driving Code'!$B$2,F66))</f>
        <v>0</v>
      </c>
      <c r="B66" s="55" t="str">
        <f>IF(A66=1,COUNTIF($A$8:$A66,1),"")</f>
        <v/>
      </c>
      <c r="F66" s="118" t="s">
        <v>2998</v>
      </c>
      <c r="G66" s="65" t="s">
        <v>2974</v>
      </c>
      <c r="H66" s="111" t="s">
        <v>3012</v>
      </c>
      <c r="I66" s="111"/>
      <c r="J66" s="112">
        <v>1</v>
      </c>
      <c r="K66" s="113">
        <v>0</v>
      </c>
      <c r="L66" s="88">
        <f t="shared" si="1"/>
        <v>0</v>
      </c>
    </row>
    <row r="67" spans="1:12" ht="21" customHeight="1">
      <c r="A67" s="55">
        <f>--ISNUMBER(SEARCH('Driving Code'!$B$2,F67))</f>
        <v>0</v>
      </c>
      <c r="B67" s="55" t="str">
        <f>IF(A67=1,COUNTIF($A$8:$A67,1),"")</f>
        <v/>
      </c>
      <c r="F67" s="118" t="s">
        <v>2998</v>
      </c>
      <c r="G67" s="65" t="s">
        <v>2974</v>
      </c>
      <c r="H67" s="111" t="s">
        <v>3012</v>
      </c>
      <c r="I67" s="111"/>
      <c r="J67" s="112">
        <v>1</v>
      </c>
      <c r="K67" s="113">
        <v>0</v>
      </c>
      <c r="L67" s="88">
        <f t="shared" si="1"/>
        <v>0</v>
      </c>
    </row>
    <row r="68" spans="1:12" ht="21" customHeight="1">
      <c r="A68" s="55">
        <f>--ISNUMBER(SEARCH('Driving Code'!$B$2,F68))</f>
        <v>0</v>
      </c>
      <c r="B68" s="55" t="str">
        <f>IF(A68=1,COUNTIF($A$8:$A68,1),"")</f>
        <v/>
      </c>
      <c r="F68" s="118" t="s">
        <v>2998</v>
      </c>
      <c r="G68" s="65" t="s">
        <v>2974</v>
      </c>
      <c r="H68" s="111" t="s">
        <v>3012</v>
      </c>
      <c r="I68" s="111"/>
      <c r="J68" s="112">
        <v>1</v>
      </c>
      <c r="K68" s="113">
        <v>0</v>
      </c>
      <c r="L68" s="88">
        <f t="shared" si="1"/>
        <v>0</v>
      </c>
    </row>
    <row r="69" spans="1:12" ht="21" customHeight="1">
      <c r="A69" s="55">
        <f>--ISNUMBER(SEARCH('Driving Code'!$B$2,F69))</f>
        <v>0</v>
      </c>
      <c r="B69" s="55" t="str">
        <f>IF(A69=1,COUNTIF($A$8:$A69,1),"")</f>
        <v/>
      </c>
      <c r="F69" s="118" t="s">
        <v>2998</v>
      </c>
      <c r="G69" s="65" t="s">
        <v>2974</v>
      </c>
      <c r="H69" s="111" t="s">
        <v>3012</v>
      </c>
      <c r="I69" s="111"/>
      <c r="J69" s="112">
        <v>1</v>
      </c>
      <c r="K69" s="113">
        <v>0</v>
      </c>
      <c r="L69" s="88">
        <f t="shared" si="1"/>
        <v>0</v>
      </c>
    </row>
    <row r="70" spans="1:12" ht="21" customHeight="1">
      <c r="A70" s="55">
        <f>--ISNUMBER(SEARCH('Driving Code'!$B$2,F70))</f>
        <v>0</v>
      </c>
      <c r="B70" s="55" t="str">
        <f>IF(A70=1,COUNTIF($A$8:$A70,1),"")</f>
        <v/>
      </c>
      <c r="F70" s="118" t="s">
        <v>2998</v>
      </c>
      <c r="G70" s="65" t="s">
        <v>2974</v>
      </c>
      <c r="H70" s="111" t="s">
        <v>3012</v>
      </c>
      <c r="I70" s="111"/>
      <c r="J70" s="112">
        <v>1</v>
      </c>
      <c r="K70" s="113">
        <v>0</v>
      </c>
      <c r="L70" s="88">
        <f t="shared" si="1"/>
        <v>0</v>
      </c>
    </row>
    <row r="71" spans="1:12" ht="21" customHeight="1">
      <c r="A71" s="55">
        <f>--ISNUMBER(SEARCH('Driving Code'!$B$2,F71))</f>
        <v>0</v>
      </c>
      <c r="B71" s="55" t="str">
        <f>IF(A71=1,COUNTIF($A$8:$A71,1),"")</f>
        <v/>
      </c>
      <c r="F71" s="118" t="s">
        <v>2998</v>
      </c>
      <c r="G71" s="65" t="s">
        <v>2974</v>
      </c>
      <c r="H71" s="111" t="s">
        <v>3012</v>
      </c>
      <c r="I71" s="111"/>
      <c r="J71" s="112">
        <v>1</v>
      </c>
      <c r="K71" s="113">
        <v>0</v>
      </c>
      <c r="L71" s="88">
        <f t="shared" si="1"/>
        <v>0</v>
      </c>
    </row>
    <row r="72" spans="1:12" ht="21" customHeight="1">
      <c r="A72" s="55">
        <f>--ISNUMBER(SEARCH('Driving Code'!$B$2,F72))</f>
        <v>0</v>
      </c>
      <c r="B72" s="55" t="str">
        <f>IF(A72=1,COUNTIF($A$8:$A72,1),"")</f>
        <v/>
      </c>
      <c r="F72" s="118" t="s">
        <v>2998</v>
      </c>
      <c r="G72" s="65" t="s">
        <v>2974</v>
      </c>
      <c r="H72" s="111" t="s">
        <v>3012</v>
      </c>
      <c r="I72" s="111"/>
      <c r="J72" s="112">
        <v>1</v>
      </c>
      <c r="K72" s="113">
        <v>0</v>
      </c>
      <c r="L72" s="88">
        <f t="shared" si="1"/>
        <v>0</v>
      </c>
    </row>
    <row r="73" spans="1:12" ht="21" customHeight="1">
      <c r="A73" s="55">
        <f>--ISNUMBER(SEARCH('Driving Code'!$B$2,F73))</f>
        <v>0</v>
      </c>
      <c r="B73" s="55" t="str">
        <f>IF(A73=1,COUNTIF($A$8:$A73,1),"")</f>
        <v/>
      </c>
      <c r="F73" s="118" t="s">
        <v>2998</v>
      </c>
      <c r="G73" s="65" t="s">
        <v>2974</v>
      </c>
      <c r="H73" s="111" t="s">
        <v>3012</v>
      </c>
      <c r="I73" s="111"/>
      <c r="J73" s="112">
        <v>1</v>
      </c>
      <c r="K73" s="113">
        <v>0</v>
      </c>
      <c r="L73" s="88">
        <f t="shared" si="1"/>
        <v>0</v>
      </c>
    </row>
    <row r="74" spans="1:12" ht="21" customHeight="1">
      <c r="A74" s="55">
        <f>--ISNUMBER(SEARCH('Driving Code'!$B$2,F74))</f>
        <v>0</v>
      </c>
      <c r="B74" s="55" t="str">
        <f>IF(A74=1,COUNTIF($A$8:$A74,1),"")</f>
        <v/>
      </c>
      <c r="F74" s="118" t="s">
        <v>2998</v>
      </c>
      <c r="G74" s="65" t="s">
        <v>2974</v>
      </c>
      <c r="H74" s="111" t="s">
        <v>3012</v>
      </c>
      <c r="I74" s="111"/>
      <c r="J74" s="112">
        <v>1</v>
      </c>
      <c r="K74" s="113">
        <v>0</v>
      </c>
      <c r="L74" s="88">
        <f t="shared" si="1"/>
        <v>0</v>
      </c>
    </row>
    <row r="75" spans="1:12" ht="21" customHeight="1">
      <c r="A75" s="55">
        <f>--ISNUMBER(SEARCH('Driving Code'!$B$2,F75))</f>
        <v>0</v>
      </c>
      <c r="B75" s="55" t="str">
        <f>IF(A75=1,COUNTIF($A$8:$A75,1),"")</f>
        <v/>
      </c>
      <c r="F75" s="118" t="s">
        <v>2998</v>
      </c>
      <c r="G75" s="65" t="s">
        <v>2974</v>
      </c>
      <c r="H75" s="111" t="s">
        <v>3012</v>
      </c>
      <c r="I75" s="111"/>
      <c r="J75" s="114">
        <v>1</v>
      </c>
      <c r="K75" s="113">
        <v>0</v>
      </c>
      <c r="L75" s="88">
        <f t="shared" si="1"/>
        <v>0</v>
      </c>
    </row>
    <row r="76" spans="1:12" ht="21" customHeight="1">
      <c r="A76" s="55">
        <f>--ISNUMBER(SEARCH('Driving Code'!$B$2,F76))</f>
        <v>0</v>
      </c>
      <c r="B76" s="55" t="str">
        <f>IF(A76=1,COUNTIF($A$8:$A76,1),"")</f>
        <v/>
      </c>
      <c r="F76" s="118" t="s">
        <v>2998</v>
      </c>
      <c r="G76" s="65" t="s">
        <v>2974</v>
      </c>
      <c r="H76" s="111" t="s">
        <v>3012</v>
      </c>
      <c r="I76" s="111"/>
      <c r="J76" s="112">
        <v>1</v>
      </c>
      <c r="K76" s="113">
        <v>0</v>
      </c>
      <c r="L76" s="88">
        <f t="shared" si="1"/>
        <v>0</v>
      </c>
    </row>
    <row r="77" spans="1:12" ht="21" customHeight="1">
      <c r="A77" s="55">
        <f>--ISNUMBER(SEARCH('Driving Code'!$B$2,F77))</f>
        <v>0</v>
      </c>
      <c r="B77" s="55" t="str">
        <f>IF(A77=1,COUNTIF($A$8:$A77,1),"")</f>
        <v/>
      </c>
      <c r="F77" s="118" t="s">
        <v>2998</v>
      </c>
      <c r="G77" s="65" t="s">
        <v>2974</v>
      </c>
      <c r="H77" s="111" t="s">
        <v>3012</v>
      </c>
      <c r="I77" s="111"/>
      <c r="J77" s="112">
        <v>1</v>
      </c>
      <c r="K77" s="113">
        <v>0</v>
      </c>
      <c r="L77" s="88">
        <f t="shared" si="1"/>
        <v>0</v>
      </c>
    </row>
    <row r="78" spans="1:12" ht="21" hidden="1" customHeight="1">
      <c r="A78" s="55">
        <f>--ISNUMBER(SEARCH('Driving Code'!$B$2,F78))</f>
        <v>0</v>
      </c>
      <c r="B78" s="55" t="str">
        <f>IF(A78=1,COUNTIF($A$8:$A78,1),"")</f>
        <v/>
      </c>
      <c r="F78" s="118" t="s">
        <v>2998</v>
      </c>
      <c r="G78" s="81" t="s">
        <v>3017</v>
      </c>
      <c r="H78" s="110" t="s">
        <v>3012</v>
      </c>
      <c r="I78" s="110"/>
      <c r="J78" s="69">
        <v>1</v>
      </c>
      <c r="K78" s="86">
        <v>0</v>
      </c>
      <c r="L78" s="71">
        <v>0</v>
      </c>
    </row>
    <row r="79" spans="1:12" ht="21" hidden="1" customHeight="1">
      <c r="A79" s="55">
        <f>--ISNUMBER(SEARCH('Driving Code'!$B$2,F79))</f>
        <v>0</v>
      </c>
      <c r="B79" s="55" t="str">
        <f>IF(A79=1,COUNTIF($A$8:$A79,1),"")</f>
        <v/>
      </c>
      <c r="F79" s="118" t="s">
        <v>2998</v>
      </c>
      <c r="G79" s="81" t="s">
        <v>3017</v>
      </c>
      <c r="H79" s="110" t="s">
        <v>3012</v>
      </c>
      <c r="I79" s="110"/>
      <c r="J79" s="69">
        <v>1</v>
      </c>
      <c r="K79" s="86">
        <v>0</v>
      </c>
      <c r="L79" s="71">
        <v>0</v>
      </c>
    </row>
    <row r="80" spans="1:12" ht="21" hidden="1" customHeight="1">
      <c r="A80" s="55">
        <f>--ISNUMBER(SEARCH('Driving Code'!$B$2,F80))</f>
        <v>0</v>
      </c>
      <c r="B80" s="55" t="str">
        <f>IF(A80=1,COUNTIF($A$8:$A80,1),"")</f>
        <v/>
      </c>
      <c r="F80" s="118" t="s">
        <v>2998</v>
      </c>
      <c r="G80" s="81" t="s">
        <v>3017</v>
      </c>
      <c r="H80" s="110" t="s">
        <v>3012</v>
      </c>
      <c r="I80" s="110"/>
      <c r="J80" s="69">
        <v>1</v>
      </c>
      <c r="K80" s="86">
        <v>0</v>
      </c>
      <c r="L80" s="71">
        <v>0</v>
      </c>
    </row>
    <row r="81" spans="1:14" ht="21" hidden="1" customHeight="1">
      <c r="A81" s="55">
        <f>--ISNUMBER(SEARCH('Driving Code'!$B$2,F81))</f>
        <v>0</v>
      </c>
      <c r="B81" s="55" t="str">
        <f>IF(A81=1,COUNTIF($A$8:$A81,1),"")</f>
        <v/>
      </c>
      <c r="F81" s="118" t="s">
        <v>2998</v>
      </c>
      <c r="G81" s="81" t="s">
        <v>3017</v>
      </c>
      <c r="H81" s="110" t="s">
        <v>3012</v>
      </c>
      <c r="I81" s="110"/>
      <c r="J81" s="69">
        <v>1</v>
      </c>
      <c r="K81" s="86">
        <v>0</v>
      </c>
      <c r="L81" s="71">
        <v>0</v>
      </c>
    </row>
    <row r="82" spans="1:14" ht="21" hidden="1" customHeight="1">
      <c r="A82" s="55">
        <f>--ISNUMBER(SEARCH('Driving Code'!$B$2,F82))</f>
        <v>0</v>
      </c>
      <c r="B82" s="55" t="str">
        <f>IF(A82=1,COUNTIF($A$8:$A82,1),"")</f>
        <v/>
      </c>
      <c r="F82" s="118" t="s">
        <v>2998</v>
      </c>
      <c r="G82" s="81" t="s">
        <v>3017</v>
      </c>
      <c r="H82" s="110" t="s">
        <v>3012</v>
      </c>
      <c r="I82" s="110"/>
      <c r="J82" s="69">
        <v>1</v>
      </c>
      <c r="K82" s="86">
        <v>0</v>
      </c>
      <c r="L82" s="71">
        <v>0</v>
      </c>
    </row>
    <row r="83" spans="1:14" ht="21" hidden="1" customHeight="1">
      <c r="A83" s="55">
        <f>--ISNUMBER(SEARCH('Driving Code'!$B$2,F83))</f>
        <v>0</v>
      </c>
      <c r="B83" s="55" t="str">
        <f>IF(A83=1,COUNTIF($A$8:$A83,1),"")</f>
        <v/>
      </c>
      <c r="F83" s="118" t="s">
        <v>2998</v>
      </c>
      <c r="G83" s="81" t="s">
        <v>3017</v>
      </c>
      <c r="H83" s="110" t="s">
        <v>3012</v>
      </c>
      <c r="I83" s="110"/>
      <c r="J83" s="69">
        <v>1</v>
      </c>
      <c r="K83" s="86">
        <v>0</v>
      </c>
      <c r="L83" s="71">
        <v>0</v>
      </c>
    </row>
    <row r="84" spans="1:14" ht="21" hidden="1" customHeight="1">
      <c r="A84" s="55">
        <f>--ISNUMBER(SEARCH('Driving Code'!$B$2,F84))</f>
        <v>0</v>
      </c>
      <c r="B84" s="55" t="str">
        <f>IF(A84=1,COUNTIF($A$8:$A84,1),"")</f>
        <v/>
      </c>
      <c r="F84" s="118" t="s">
        <v>2998</v>
      </c>
      <c r="G84" s="81" t="s">
        <v>3017</v>
      </c>
      <c r="H84" s="110" t="s">
        <v>3012</v>
      </c>
      <c r="I84" s="110"/>
      <c r="J84" s="69">
        <v>1</v>
      </c>
      <c r="K84" s="86">
        <v>0</v>
      </c>
      <c r="L84" s="71">
        <v>0</v>
      </c>
    </row>
    <row r="85" spans="1:14" ht="21" hidden="1" customHeight="1">
      <c r="A85" s="55">
        <f>--ISNUMBER(SEARCH('Driving Code'!$B$2,F85))</f>
        <v>0</v>
      </c>
      <c r="B85" s="55" t="str">
        <f>IF(A85=1,COUNTIF($A$8:$A85,1),"")</f>
        <v/>
      </c>
      <c r="F85" s="118" t="s">
        <v>2998</v>
      </c>
      <c r="G85" s="81" t="s">
        <v>3017</v>
      </c>
      <c r="H85" s="110" t="s">
        <v>3012</v>
      </c>
      <c r="I85" s="110"/>
      <c r="J85" s="69">
        <v>1</v>
      </c>
      <c r="K85" s="86">
        <v>0</v>
      </c>
      <c r="L85" s="71">
        <v>0</v>
      </c>
    </row>
    <row r="86" spans="1:14" ht="21" hidden="1" customHeight="1">
      <c r="A86" s="55">
        <f>--ISNUMBER(SEARCH('Driving Code'!$B$2,F86))</f>
        <v>0</v>
      </c>
      <c r="B86" s="55" t="str">
        <f>IF(A86=1,COUNTIF($A$8:$A86,1),"")</f>
        <v/>
      </c>
      <c r="F86" s="118" t="s">
        <v>2998</v>
      </c>
      <c r="G86" s="81" t="s">
        <v>3017</v>
      </c>
      <c r="H86" s="110" t="s">
        <v>3012</v>
      </c>
      <c r="I86" s="110"/>
      <c r="J86" s="69">
        <v>1</v>
      </c>
      <c r="K86" s="86">
        <v>0</v>
      </c>
      <c r="L86" s="71">
        <v>0</v>
      </c>
    </row>
    <row r="87" spans="1:14" ht="21" hidden="1" customHeight="1">
      <c r="A87" s="55">
        <f>--ISNUMBER(SEARCH('Driving Code'!$B$2,F87))</f>
        <v>0</v>
      </c>
      <c r="B87" s="55" t="str">
        <f>IF(A87=1,COUNTIF($A$8:$A87,1),"")</f>
        <v/>
      </c>
      <c r="F87" s="118" t="s">
        <v>2998</v>
      </c>
      <c r="G87" s="81" t="s">
        <v>3017</v>
      </c>
      <c r="H87" s="110" t="s">
        <v>3012</v>
      </c>
      <c r="I87" s="110"/>
      <c r="J87" s="69">
        <v>1</v>
      </c>
      <c r="K87" s="86">
        <v>0</v>
      </c>
      <c r="L87" s="71">
        <v>0</v>
      </c>
    </row>
    <row r="88" spans="1:14" ht="21" customHeight="1">
      <c r="A88" s="55">
        <f>--ISNUMBER(SEARCH('Driving Code'!$B$2,F88))</f>
        <v>0</v>
      </c>
      <c r="C88"/>
      <c r="D88" s="82" t="str">
        <f>IF(A88=1,COUNTIF($A$88:$A88,1),"")</f>
        <v/>
      </c>
      <c r="E88"/>
      <c r="F88" s="118" t="s">
        <v>2998</v>
      </c>
      <c r="G88" s="80" t="s">
        <v>3018</v>
      </c>
      <c r="H88" s="115" t="s">
        <v>3012</v>
      </c>
      <c r="I88" s="115"/>
      <c r="J88" s="69">
        <v>1</v>
      </c>
      <c r="K88" s="86">
        <v>0</v>
      </c>
      <c r="L88" s="71">
        <v>0</v>
      </c>
    </row>
    <row r="89" spans="1:14" ht="21" customHeight="1">
      <c r="A89" s="55">
        <f>--ISNUMBER(SEARCH('Driving Code'!$B$2,F89))</f>
        <v>0</v>
      </c>
      <c r="C89"/>
      <c r="D89" s="82" t="str">
        <f>IF(A89=1,COUNTIF($A$88:$A89,1),"")</f>
        <v/>
      </c>
      <c r="E89"/>
      <c r="F89" s="118" t="s">
        <v>2998</v>
      </c>
      <c r="G89" s="80" t="s">
        <v>3018</v>
      </c>
      <c r="H89" s="115" t="s">
        <v>3012</v>
      </c>
      <c r="I89" s="115"/>
      <c r="J89" s="69">
        <v>1</v>
      </c>
      <c r="K89" s="86">
        <v>0</v>
      </c>
      <c r="L89" s="71">
        <v>0</v>
      </c>
    </row>
    <row r="90" spans="1:14" ht="21" customHeight="1">
      <c r="A90" s="55">
        <f>--ISNUMBER(SEARCH('Driving Code'!$B$2,F90))</f>
        <v>0</v>
      </c>
      <c r="C90"/>
      <c r="D90" s="82" t="str">
        <f>IF(A90=1,COUNTIF($A$88:$A90,1),"")</f>
        <v/>
      </c>
      <c r="E90"/>
      <c r="F90" s="118" t="s">
        <v>2998</v>
      </c>
      <c r="G90" s="80" t="s">
        <v>3018</v>
      </c>
      <c r="H90" s="115" t="s">
        <v>3012</v>
      </c>
      <c r="I90" s="115"/>
      <c r="J90" s="69">
        <v>1</v>
      </c>
      <c r="K90" s="86">
        <v>0</v>
      </c>
      <c r="L90" s="71">
        <v>0</v>
      </c>
    </row>
    <row r="91" spans="1:14" ht="21" customHeight="1">
      <c r="A91" s="55">
        <f>--ISNUMBER(SEARCH('Driving Code'!$B$2,F91))</f>
        <v>0</v>
      </c>
      <c r="C91"/>
      <c r="D91" s="82" t="str">
        <f>IF(A91=1,COUNTIF($A$88:$A91,1),"")</f>
        <v/>
      </c>
      <c r="E91"/>
      <c r="F91" s="118" t="s">
        <v>2998</v>
      </c>
      <c r="G91" s="80" t="s">
        <v>3018</v>
      </c>
      <c r="H91" s="115" t="s">
        <v>3012</v>
      </c>
      <c r="I91" s="115"/>
      <c r="J91" s="69">
        <v>1</v>
      </c>
      <c r="K91" s="86">
        <v>0</v>
      </c>
      <c r="L91" s="71">
        <v>0</v>
      </c>
    </row>
    <row r="92" spans="1:14" ht="21" customHeight="1">
      <c r="A92" s="55">
        <f>--ISNUMBER(SEARCH('Driving Code'!$B$2,F92))</f>
        <v>1</v>
      </c>
      <c r="C92"/>
      <c r="D92"/>
      <c r="E92" s="83">
        <f>IF(A92=1,COUNTIF($A$92:$A92,1),"")</f>
        <v>1</v>
      </c>
      <c r="F92" s="118" t="s">
        <v>3003</v>
      </c>
      <c r="G92" s="84" t="s">
        <v>3022</v>
      </c>
      <c r="H92" s="116" t="s">
        <v>3043</v>
      </c>
      <c r="I92" s="116"/>
      <c r="J92" s="69">
        <v>1</v>
      </c>
      <c r="K92" s="86">
        <v>0</v>
      </c>
      <c r="L92" s="71">
        <v>0</v>
      </c>
    </row>
    <row r="93" spans="1:14" ht="21" customHeight="1">
      <c r="A93" s="55">
        <f>--ISNUMBER(SEARCH('Driving Code'!$B$2,F93))</f>
        <v>0</v>
      </c>
      <c r="C93"/>
      <c r="D93"/>
      <c r="E93" s="83" t="str">
        <f>IF(A93=1,COUNTIF($A$92:$A93,1),"")</f>
        <v/>
      </c>
      <c r="F93" s="118" t="s">
        <v>2998</v>
      </c>
      <c r="G93" s="84" t="s">
        <v>3022</v>
      </c>
      <c r="H93" s="116" t="s">
        <v>3012</v>
      </c>
      <c r="I93" s="116"/>
      <c r="J93" s="69">
        <v>1</v>
      </c>
      <c r="K93" s="86">
        <v>0</v>
      </c>
      <c r="L93" s="71">
        <v>0</v>
      </c>
    </row>
    <row r="94" spans="1:14" ht="21" customHeight="1">
      <c r="A94" s="55">
        <f>--ISNUMBER(SEARCH('Driving Code'!$B$2,F94))</f>
        <v>0</v>
      </c>
      <c r="C94" s="78" t="str">
        <f>IF(A94=1,COUNTIF($A$94:$A94,1),"")</f>
        <v/>
      </c>
      <c r="D94"/>
      <c r="E94"/>
      <c r="F94" s="118" t="str">
        <f t="shared" ref="F94:F100" si="2">IF(L94=0,"o","þ")</f>
        <v>o</v>
      </c>
      <c r="G94" s="63" t="s">
        <v>2972</v>
      </c>
      <c r="H94" s="117" t="s">
        <v>3012</v>
      </c>
      <c r="I94" s="117"/>
      <c r="J94" s="144" t="s">
        <v>3122</v>
      </c>
      <c r="K94" s="87">
        <f>'Driving Code'!D24</f>
        <v>0</v>
      </c>
      <c r="L94" s="151">
        <v>0</v>
      </c>
      <c r="M94" s="57"/>
      <c r="N94" s="57"/>
    </row>
    <row r="95" spans="1:14" ht="21" customHeight="1">
      <c r="A95" s="55">
        <f>--ISNUMBER(SEARCH('Driving Code'!$B$2,F95))</f>
        <v>0</v>
      </c>
      <c r="C95" s="78" t="str">
        <f>IF(A95=1,COUNTIF($A$94:$A95,1),"")</f>
        <v/>
      </c>
      <c r="D95"/>
      <c r="E95"/>
      <c r="F95" s="118" t="str">
        <f t="shared" si="2"/>
        <v>o</v>
      </c>
      <c r="G95" s="63" t="s">
        <v>2972</v>
      </c>
      <c r="H95" s="117" t="s">
        <v>3012</v>
      </c>
      <c r="I95" s="117"/>
      <c r="J95" s="144" t="s">
        <v>3122</v>
      </c>
      <c r="K95" s="87">
        <f>'Driving Code'!D25</f>
        <v>0</v>
      </c>
      <c r="L95" s="151">
        <v>0</v>
      </c>
      <c r="M95" s="57"/>
      <c r="N95" s="57"/>
    </row>
    <row r="96" spans="1:14" ht="21" customHeight="1">
      <c r="A96" s="55">
        <f>--ISNUMBER(SEARCH('Driving Code'!$B$2,F96))</f>
        <v>0</v>
      </c>
      <c r="C96" s="78" t="str">
        <f>IF(A96=1,COUNTIF($A$94:$A96,1),"")</f>
        <v/>
      </c>
      <c r="D96"/>
      <c r="E96"/>
      <c r="F96" s="118" t="str">
        <f t="shared" si="2"/>
        <v>o</v>
      </c>
      <c r="G96" s="63" t="s">
        <v>2972</v>
      </c>
      <c r="H96" s="117" t="s">
        <v>3012</v>
      </c>
      <c r="I96" s="117"/>
      <c r="J96" s="144" t="s">
        <v>3122</v>
      </c>
      <c r="K96" s="87">
        <f>'Driving Code'!D26</f>
        <v>0</v>
      </c>
      <c r="L96" s="151">
        <v>0</v>
      </c>
      <c r="M96" s="57"/>
      <c r="N96" s="57"/>
    </row>
    <row r="97" spans="1:14" ht="21" customHeight="1">
      <c r="A97" s="55">
        <f>--ISNUMBER(SEARCH('Driving Code'!$B$2,F97))</f>
        <v>0</v>
      </c>
      <c r="C97" s="78" t="str">
        <f>IF(A97=1,COUNTIF($A$94:$A97,1),"")</f>
        <v/>
      </c>
      <c r="D97"/>
      <c r="E97"/>
      <c r="F97" s="118" t="str">
        <f t="shared" si="2"/>
        <v>o</v>
      </c>
      <c r="G97" s="63" t="s">
        <v>2972</v>
      </c>
      <c r="H97" s="117" t="s">
        <v>3012</v>
      </c>
      <c r="I97" s="117"/>
      <c r="J97" s="144" t="s">
        <v>3122</v>
      </c>
      <c r="K97" s="87">
        <f>'Driving Code'!D27</f>
        <v>0</v>
      </c>
      <c r="L97" s="151">
        <v>0</v>
      </c>
      <c r="M97" s="57"/>
      <c r="N97" s="57"/>
    </row>
    <row r="98" spans="1:14" ht="21" customHeight="1">
      <c r="A98" s="55">
        <f>--ISNUMBER(SEARCH('Driving Code'!$B$2,F98))</f>
        <v>0</v>
      </c>
      <c r="C98" s="78" t="str">
        <f>IF(A98=1,COUNTIF($A$94:$A98,1),"")</f>
        <v/>
      </c>
      <c r="D98"/>
      <c r="E98"/>
      <c r="F98" s="118" t="str">
        <f t="shared" si="2"/>
        <v>o</v>
      </c>
      <c r="G98" s="63" t="s">
        <v>2972</v>
      </c>
      <c r="H98" s="117" t="s">
        <v>3012</v>
      </c>
      <c r="I98" s="117"/>
      <c r="J98" s="144" t="s">
        <v>3122</v>
      </c>
      <c r="K98" s="87">
        <f>'Driving Code'!D28</f>
        <v>0</v>
      </c>
      <c r="L98" s="152">
        <v>0</v>
      </c>
    </row>
    <row r="99" spans="1:14" ht="21" customHeight="1">
      <c r="A99" s="55">
        <f>--ISNUMBER(SEARCH('Driving Code'!$B$2,F99))</f>
        <v>0</v>
      </c>
      <c r="C99" s="78" t="str">
        <f>IF(A99=1,COUNTIF($A$94:$A99,1),"")</f>
        <v/>
      </c>
      <c r="D99"/>
      <c r="E99"/>
      <c r="F99" s="118" t="str">
        <f t="shared" si="2"/>
        <v>o</v>
      </c>
      <c r="G99" s="63" t="s">
        <v>2972</v>
      </c>
      <c r="H99" s="117" t="s">
        <v>3012</v>
      </c>
      <c r="I99" s="117"/>
      <c r="J99" s="144" t="s">
        <v>3122</v>
      </c>
      <c r="K99" s="87">
        <f>'Driving Code'!D29</f>
        <v>0</v>
      </c>
      <c r="L99" s="153">
        <v>0</v>
      </c>
      <c r="M99" s="61"/>
      <c r="N99" s="61"/>
    </row>
    <row r="100" spans="1:14" ht="21" customHeight="1">
      <c r="A100" s="55">
        <f>--ISNUMBER(SEARCH('Driving Code'!$B$2,F100))</f>
        <v>0</v>
      </c>
      <c r="C100" s="78" t="str">
        <f>IF(A100=1,COUNTIF($A$94:$A100,1),"")</f>
        <v/>
      </c>
      <c r="D100"/>
      <c r="E100"/>
      <c r="F100" s="118" t="str">
        <f t="shared" si="2"/>
        <v>o</v>
      </c>
      <c r="G100" s="63" t="s">
        <v>2972</v>
      </c>
      <c r="H100" s="117" t="s">
        <v>3012</v>
      </c>
      <c r="I100" s="117"/>
      <c r="J100" s="144" t="s">
        <v>3122</v>
      </c>
      <c r="K100" s="87">
        <f>'Driving Code'!D30</f>
        <v>0</v>
      </c>
      <c r="L100" s="153">
        <v>0</v>
      </c>
      <c r="M100" s="61"/>
      <c r="N100" s="61"/>
    </row>
    <row r="101" spans="1:14" ht="21" customHeight="1">
      <c r="A101" s="55">
        <f>--ISNUMBER(SEARCH('Driving Code'!$B$2,F101))</f>
        <v>1</v>
      </c>
      <c r="C101" s="78">
        <f>IF(A101=1,COUNTIF($A$94:$A101,1),"")</f>
        <v>1</v>
      </c>
      <c r="D101"/>
      <c r="E101"/>
      <c r="F101" s="118" t="s">
        <v>3003</v>
      </c>
      <c r="G101" s="63" t="s">
        <v>2972</v>
      </c>
      <c r="H101" s="117" t="s">
        <v>3041</v>
      </c>
      <c r="I101" s="117"/>
      <c r="J101" s="144" t="s">
        <v>3123</v>
      </c>
      <c r="K101" s="87">
        <f>'Driving Code'!D31</f>
        <v>100</v>
      </c>
      <c r="L101" s="154">
        <f>'Driving Code'!A31</f>
        <v>1</v>
      </c>
      <c r="M101" s="61"/>
      <c r="N101" s="61"/>
    </row>
    <row r="102" spans="1:14" ht="21" customHeight="1">
      <c r="F102" s="58"/>
      <c r="G102" s="59"/>
      <c r="H102" s="59"/>
      <c r="I102" s="59"/>
    </row>
    <row r="103" spans="1:14" ht="21" customHeight="1">
      <c r="F103" s="58"/>
      <c r="G103" s="59"/>
      <c r="H103" s="59"/>
      <c r="I103" s="59"/>
    </row>
    <row r="104" spans="1:14" ht="21" customHeight="1">
      <c r="F104" s="58"/>
      <c r="G104" s="59"/>
      <c r="H104" s="59"/>
      <c r="I104" s="59"/>
    </row>
    <row r="105" spans="1:14" ht="21" customHeight="1">
      <c r="F105" s="58"/>
      <c r="G105" s="59"/>
      <c r="H105" s="59"/>
      <c r="I105" s="59"/>
    </row>
    <row r="106" spans="1:14" ht="21" customHeight="1">
      <c r="F106" s="58"/>
      <c r="G106" s="60"/>
      <c r="H106" s="60"/>
      <c r="I106" s="60"/>
    </row>
    <row r="107" spans="1:14" ht="21" customHeight="1">
      <c r="F107" s="58"/>
      <c r="G107" s="59"/>
      <c r="H107" s="59"/>
      <c r="I107" s="59"/>
    </row>
    <row r="108" spans="1:14" ht="21" customHeight="1">
      <c r="F108" s="58"/>
      <c r="G108" s="59"/>
      <c r="H108" s="59"/>
      <c r="I108" s="59"/>
    </row>
    <row r="109" spans="1:14" ht="21" customHeight="1">
      <c r="F109" s="58"/>
      <c r="G109" s="59"/>
      <c r="H109" s="59"/>
      <c r="I109" s="59"/>
    </row>
    <row r="110" spans="1:14" ht="21" customHeight="1">
      <c r="F110" s="58"/>
      <c r="G110" s="59"/>
      <c r="H110" s="59"/>
      <c r="I110" s="59"/>
    </row>
    <row r="111" spans="1:14" ht="21" customHeight="1">
      <c r="F111" s="58"/>
      <c r="G111" s="59"/>
      <c r="H111" s="59"/>
      <c r="I111" s="59"/>
    </row>
    <row r="112" spans="1:14" ht="21" customHeight="1">
      <c r="F112" s="58"/>
      <c r="G112" s="59"/>
      <c r="H112" s="59"/>
      <c r="I112" s="59"/>
    </row>
    <row r="113" spans="6:9" ht="21" customHeight="1">
      <c r="F113" s="58"/>
      <c r="G113" s="59"/>
      <c r="H113" s="59"/>
      <c r="I113" s="59"/>
    </row>
    <row r="114" spans="6:9" ht="21" customHeight="1">
      <c r="F114" s="58"/>
      <c r="G114" s="60"/>
      <c r="H114" s="60"/>
      <c r="I114" s="60"/>
    </row>
    <row r="115" spans="6:9" ht="21" customHeight="1">
      <c r="F115" s="58"/>
      <c r="G115" s="60"/>
      <c r="H115" s="60"/>
      <c r="I115" s="60"/>
    </row>
    <row r="116" spans="6:9" ht="21" customHeight="1">
      <c r="F116" s="58"/>
      <c r="G116" s="59"/>
      <c r="H116" s="59"/>
      <c r="I116" s="59"/>
    </row>
    <row r="117" spans="6:9" ht="21" customHeight="1">
      <c r="F117" s="58"/>
      <c r="G117" s="60"/>
      <c r="H117" s="59"/>
      <c r="I117" s="59"/>
    </row>
    <row r="118" spans="6:9" ht="21" customHeight="1">
      <c r="F118" s="58"/>
      <c r="G118" s="59"/>
      <c r="H118" s="59"/>
      <c r="I118" s="59"/>
    </row>
    <row r="119" spans="6:9" ht="21" customHeight="1">
      <c r="F119" s="58"/>
      <c r="G119" s="59"/>
      <c r="H119" s="59"/>
      <c r="I119" s="59"/>
    </row>
    <row r="120" spans="6:9" ht="21" customHeight="1">
      <c r="F120" s="58"/>
      <c r="G120" s="59"/>
      <c r="H120" s="59"/>
      <c r="I120" s="59"/>
    </row>
    <row r="121" spans="6:9" ht="21" customHeight="1">
      <c r="F121" s="58"/>
      <c r="G121" s="59"/>
      <c r="H121" s="59"/>
      <c r="I121" s="59"/>
    </row>
    <row r="122" spans="6:9" ht="21" customHeight="1">
      <c r="F122" s="58"/>
      <c r="G122" s="59"/>
      <c r="H122" s="59"/>
      <c r="I122" s="59"/>
    </row>
    <row r="123" spans="6:9" ht="21" customHeight="1">
      <c r="F123" s="58"/>
      <c r="G123" s="59"/>
      <c r="H123" s="59"/>
      <c r="I123" s="59"/>
    </row>
    <row r="124" spans="6:9" ht="21" customHeight="1">
      <c r="F124" s="58"/>
      <c r="G124" s="59"/>
      <c r="H124" s="59"/>
      <c r="I124" s="59"/>
    </row>
    <row r="125" spans="6:9" ht="21" customHeight="1">
      <c r="F125" s="58"/>
      <c r="G125" s="59"/>
      <c r="H125" s="59"/>
      <c r="I125" s="59"/>
    </row>
    <row r="126" spans="6:9" ht="21" customHeight="1">
      <c r="F126" s="58"/>
      <c r="G126" s="59"/>
      <c r="H126" s="59"/>
      <c r="I126" s="59"/>
    </row>
    <row r="127" spans="6:9" ht="21" customHeight="1">
      <c r="F127" s="58"/>
      <c r="G127" s="59"/>
      <c r="H127" s="59"/>
      <c r="I127" s="59"/>
    </row>
    <row r="128" spans="6:9" ht="21" customHeight="1">
      <c r="F128" s="58"/>
      <c r="G128" s="59"/>
      <c r="H128" s="59"/>
      <c r="I128" s="59"/>
    </row>
    <row r="129" spans="6:9" ht="21" customHeight="1">
      <c r="F129" s="58"/>
      <c r="G129" s="59"/>
      <c r="H129" s="59"/>
      <c r="I129" s="59"/>
    </row>
    <row r="130" spans="6:9" ht="21" customHeight="1">
      <c r="F130" s="58"/>
      <c r="G130" s="59"/>
      <c r="H130" s="59"/>
      <c r="I130" s="59"/>
    </row>
    <row r="131" spans="6:9" ht="21" customHeight="1">
      <c r="F131" s="58"/>
      <c r="G131" s="59"/>
      <c r="H131" s="59"/>
      <c r="I131" s="59"/>
    </row>
    <row r="132" spans="6:9" ht="21" customHeight="1">
      <c r="F132" s="58"/>
      <c r="G132" s="59"/>
      <c r="H132" s="59"/>
      <c r="I132" s="59"/>
    </row>
    <row r="133" spans="6:9" ht="21" customHeight="1">
      <c r="F133" s="58"/>
      <c r="G133" s="59"/>
      <c r="H133" s="59"/>
      <c r="I133" s="59"/>
    </row>
    <row r="134" spans="6:9" ht="21" customHeight="1">
      <c r="F134" s="58"/>
      <c r="G134" s="59"/>
      <c r="H134" s="59"/>
      <c r="I134" s="59"/>
    </row>
    <row r="135" spans="6:9" ht="21" customHeight="1">
      <c r="F135" s="58"/>
      <c r="G135" s="59"/>
      <c r="H135" s="59"/>
      <c r="I135" s="59"/>
    </row>
    <row r="136" spans="6:9" ht="21" customHeight="1">
      <c r="F136" s="58"/>
      <c r="G136" s="59"/>
      <c r="H136" s="59"/>
      <c r="I136" s="59"/>
    </row>
    <row r="137" spans="6:9" ht="21" customHeight="1">
      <c r="F137" s="58"/>
      <c r="G137" s="59"/>
      <c r="H137" s="59"/>
      <c r="I137" s="59"/>
    </row>
    <row r="138" spans="6:9" ht="21" customHeight="1">
      <c r="F138" s="58"/>
      <c r="G138" s="59"/>
      <c r="H138" s="59"/>
      <c r="I138" s="59"/>
    </row>
    <row r="139" spans="6:9" ht="21" customHeight="1">
      <c r="F139" s="62"/>
      <c r="G139" s="59"/>
      <c r="H139" s="59"/>
      <c r="I139" s="59"/>
    </row>
    <row r="140" spans="6:9" ht="21" customHeight="1">
      <c r="F140" s="58"/>
      <c r="G140" s="59"/>
      <c r="H140" s="59"/>
      <c r="I140" s="59"/>
    </row>
    <row r="141" spans="6:9" ht="21" customHeight="1">
      <c r="F141" s="58"/>
      <c r="G141" s="59"/>
      <c r="H141" s="59"/>
      <c r="I141" s="59"/>
    </row>
    <row r="142" spans="6:9" ht="21" customHeight="1">
      <c r="F142" s="58"/>
      <c r="G142" s="59"/>
      <c r="H142" s="59"/>
      <c r="I142" s="59"/>
    </row>
    <row r="143" spans="6:9" ht="21" customHeight="1">
      <c r="F143" s="58"/>
      <c r="G143" s="59"/>
      <c r="H143" s="59"/>
      <c r="I143" s="59"/>
    </row>
    <row r="144" spans="6:9" ht="21" customHeight="1">
      <c r="F144" s="58"/>
      <c r="G144" s="59"/>
      <c r="H144" s="59"/>
      <c r="I144" s="59"/>
    </row>
    <row r="145" spans="6:9" ht="21" customHeight="1">
      <c r="F145" s="62"/>
      <c r="G145" s="59"/>
      <c r="H145" s="59"/>
      <c r="I145" s="59"/>
    </row>
    <row r="146" spans="6:9" ht="21" customHeight="1">
      <c r="F146" s="58"/>
      <c r="G146" s="59"/>
      <c r="H146" s="59"/>
      <c r="I146" s="59"/>
    </row>
    <row r="147" spans="6:9" ht="21" customHeight="1">
      <c r="F147" s="58"/>
      <c r="G147" s="59"/>
      <c r="H147" s="59"/>
      <c r="I147" s="59"/>
    </row>
    <row r="148" spans="6:9" ht="21" customHeight="1">
      <c r="F148" s="58"/>
      <c r="G148" s="59"/>
      <c r="H148" s="59"/>
      <c r="I148" s="59"/>
    </row>
    <row r="149" spans="6:9" ht="21" customHeight="1">
      <c r="F149" s="58"/>
      <c r="G149" s="59"/>
      <c r="H149" s="59"/>
      <c r="I149" s="59"/>
    </row>
    <row r="150" spans="6:9" ht="21" customHeight="1">
      <c r="F150" s="58"/>
      <c r="G150" s="59"/>
      <c r="H150" s="59"/>
      <c r="I150" s="59"/>
    </row>
    <row r="151" spans="6:9" ht="21" customHeight="1">
      <c r="F151" s="58"/>
      <c r="G151" s="59"/>
      <c r="H151" s="59"/>
      <c r="I151" s="59"/>
    </row>
    <row r="152" spans="6:9" ht="21" customHeight="1">
      <c r="F152" s="58"/>
      <c r="G152" s="59"/>
      <c r="H152" s="59"/>
      <c r="I152" s="59"/>
    </row>
    <row r="153" spans="6:9" ht="21" customHeight="1">
      <c r="F153" s="58"/>
      <c r="G153" s="59"/>
      <c r="H153" s="59"/>
      <c r="I153" s="59"/>
    </row>
    <row r="154" spans="6:9" ht="21" customHeight="1">
      <c r="F154" s="58"/>
      <c r="G154" s="59"/>
      <c r="H154" s="59"/>
      <c r="I154" s="59"/>
    </row>
    <row r="155" spans="6:9" ht="21" customHeight="1">
      <c r="F155" s="58"/>
      <c r="G155" s="59"/>
      <c r="H155" s="59"/>
      <c r="I155" s="59"/>
    </row>
    <row r="156" spans="6:9" ht="21" customHeight="1">
      <c r="F156" s="58"/>
      <c r="G156" s="59"/>
      <c r="H156" s="59"/>
      <c r="I156" s="59"/>
    </row>
    <row r="157" spans="6:9" ht="21" customHeight="1">
      <c r="F157" s="58"/>
      <c r="G157" s="59"/>
      <c r="H157" s="59"/>
      <c r="I157" s="59"/>
    </row>
    <row r="158" spans="6:9" ht="21" customHeight="1">
      <c r="F158" s="58"/>
      <c r="G158" s="59"/>
      <c r="H158" s="59"/>
      <c r="I158" s="59"/>
    </row>
    <row r="159" spans="6:9" ht="21" customHeight="1">
      <c r="F159" s="58"/>
      <c r="G159" s="59"/>
      <c r="H159" s="59"/>
      <c r="I159" s="59"/>
    </row>
    <row r="160" spans="6:9" ht="21" customHeight="1">
      <c r="F160" s="58"/>
      <c r="G160" s="59"/>
      <c r="H160" s="59"/>
      <c r="I160" s="59"/>
    </row>
    <row r="161" spans="6:9" ht="21" customHeight="1">
      <c r="F161" s="58"/>
      <c r="G161" s="59"/>
      <c r="H161" s="59"/>
      <c r="I161" s="59"/>
    </row>
    <row r="162" spans="6:9" ht="21" customHeight="1">
      <c r="F162" s="58"/>
      <c r="G162" s="59"/>
      <c r="H162" s="59"/>
      <c r="I162" s="59"/>
    </row>
    <row r="163" spans="6:9" ht="21" customHeight="1">
      <c r="F163" s="58"/>
      <c r="G163" s="59"/>
      <c r="H163" s="59"/>
      <c r="I163" s="59"/>
    </row>
    <row r="164" spans="6:9" ht="21" customHeight="1">
      <c r="F164" s="58"/>
      <c r="G164" s="59"/>
      <c r="H164" s="59"/>
      <c r="I164" s="59"/>
    </row>
    <row r="165" spans="6:9" ht="21" customHeight="1">
      <c r="F165" s="58"/>
      <c r="G165" s="59"/>
      <c r="H165" s="59"/>
      <c r="I165" s="59"/>
    </row>
    <row r="166" spans="6:9" ht="21" customHeight="1">
      <c r="F166" s="58"/>
      <c r="G166" s="59"/>
      <c r="H166" s="59"/>
      <c r="I166" s="59"/>
    </row>
    <row r="167" spans="6:9" ht="21" customHeight="1">
      <c r="F167" s="58"/>
      <c r="G167" s="59"/>
      <c r="H167" s="59"/>
      <c r="I167" s="59"/>
    </row>
    <row r="168" spans="6:9" ht="21" customHeight="1">
      <c r="F168" s="58"/>
      <c r="G168" s="59"/>
      <c r="H168" s="59"/>
      <c r="I168" s="59"/>
    </row>
    <row r="169" spans="6:9" ht="21" customHeight="1">
      <c r="F169" s="58"/>
      <c r="G169" s="59"/>
      <c r="H169" s="59"/>
      <c r="I169" s="59"/>
    </row>
    <row r="170" spans="6:9" ht="21" customHeight="1">
      <c r="F170" s="58"/>
      <c r="G170" s="59"/>
      <c r="H170" s="59"/>
      <c r="I170" s="59"/>
    </row>
    <row r="171" spans="6:9" ht="21" customHeight="1">
      <c r="F171" s="58"/>
      <c r="G171" s="59"/>
      <c r="H171" s="59"/>
      <c r="I171" s="59"/>
    </row>
    <row r="172" spans="6:9" ht="21" customHeight="1">
      <c r="F172" s="58"/>
      <c r="G172" s="59"/>
      <c r="H172" s="59"/>
      <c r="I172" s="59"/>
    </row>
    <row r="173" spans="6:9" ht="21" customHeight="1">
      <c r="F173" s="58"/>
      <c r="G173" s="59"/>
      <c r="H173" s="59"/>
      <c r="I173" s="59"/>
    </row>
    <row r="174" spans="6:9" ht="21" customHeight="1">
      <c r="F174" s="58"/>
      <c r="G174" s="59"/>
      <c r="H174" s="59"/>
      <c r="I174" s="59"/>
    </row>
    <row r="175" spans="6:9" ht="21" customHeight="1">
      <c r="F175" s="58"/>
      <c r="G175" s="59"/>
      <c r="H175" s="59"/>
      <c r="I175" s="59"/>
    </row>
    <row r="176" spans="6:9" ht="21" customHeight="1">
      <c r="F176" s="58"/>
      <c r="G176" s="59"/>
      <c r="H176" s="59"/>
      <c r="I176" s="59"/>
    </row>
    <row r="177" spans="6:9" ht="21" customHeight="1">
      <c r="F177" s="58"/>
      <c r="G177" s="59"/>
      <c r="H177" s="59"/>
      <c r="I177" s="59"/>
    </row>
    <row r="178" spans="6:9" ht="21" customHeight="1">
      <c r="F178" s="58"/>
      <c r="G178" s="59"/>
      <c r="H178" s="59"/>
      <c r="I178" s="59"/>
    </row>
    <row r="179" spans="6:9" ht="21" customHeight="1">
      <c r="F179" s="58"/>
      <c r="G179" s="59"/>
      <c r="H179" s="59"/>
      <c r="I179" s="59"/>
    </row>
    <row r="180" spans="6:9" ht="21" customHeight="1">
      <c r="F180" s="58"/>
      <c r="G180" s="59"/>
      <c r="H180" s="59"/>
      <c r="I180" s="59"/>
    </row>
    <row r="181" spans="6:9" ht="21" customHeight="1">
      <c r="F181" s="58"/>
      <c r="G181" s="59"/>
      <c r="H181" s="59"/>
      <c r="I181" s="59"/>
    </row>
    <row r="182" spans="6:9" ht="21" customHeight="1">
      <c r="F182" s="58"/>
      <c r="G182" s="59"/>
      <c r="H182" s="59"/>
      <c r="I182" s="59"/>
    </row>
    <row r="183" spans="6:9" ht="21" customHeight="1">
      <c r="F183" s="58"/>
      <c r="G183" s="59"/>
      <c r="H183" s="59"/>
      <c r="I183" s="59"/>
    </row>
    <row r="184" spans="6:9" ht="21" customHeight="1">
      <c r="F184" s="58"/>
      <c r="G184" s="59"/>
      <c r="H184" s="59"/>
      <c r="I184" s="59"/>
    </row>
    <row r="185" spans="6:9" ht="21" customHeight="1">
      <c r="F185" s="58"/>
      <c r="G185" s="59"/>
      <c r="H185" s="59"/>
      <c r="I185" s="59"/>
    </row>
    <row r="186" spans="6:9" ht="21" customHeight="1">
      <c r="F186" s="58"/>
      <c r="G186" s="59"/>
      <c r="H186" s="59"/>
      <c r="I186" s="59"/>
    </row>
    <row r="187" spans="6:9" ht="21" customHeight="1">
      <c r="F187" s="58"/>
      <c r="G187" s="59"/>
      <c r="H187" s="59"/>
      <c r="I187" s="59"/>
    </row>
    <row r="188" spans="6:9" ht="21" customHeight="1">
      <c r="F188" s="58"/>
      <c r="G188" s="59"/>
      <c r="H188" s="59"/>
      <c r="I188" s="59"/>
    </row>
    <row r="189" spans="6:9" ht="21" customHeight="1">
      <c r="F189" s="58"/>
      <c r="G189" s="59"/>
      <c r="H189" s="59"/>
      <c r="I189" s="59"/>
    </row>
    <row r="190" spans="6:9" ht="21" customHeight="1">
      <c r="F190" s="58"/>
      <c r="G190" s="59"/>
      <c r="H190" s="59"/>
      <c r="I190" s="59"/>
    </row>
    <row r="191" spans="6:9" ht="21" customHeight="1">
      <c r="F191" s="58"/>
      <c r="G191" s="59"/>
      <c r="H191" s="59"/>
      <c r="I191" s="59"/>
    </row>
    <row r="192" spans="6:9" ht="21" customHeight="1">
      <c r="F192" s="58"/>
      <c r="G192" s="59"/>
      <c r="H192" s="59"/>
      <c r="I192" s="59"/>
    </row>
    <row r="193" spans="6:9" ht="21" customHeight="1">
      <c r="F193" s="58"/>
      <c r="G193" s="59"/>
      <c r="H193" s="59"/>
      <c r="I193" s="59"/>
    </row>
    <row r="194" spans="6:9" ht="21" customHeight="1">
      <c r="F194" s="58"/>
      <c r="G194" s="59"/>
      <c r="H194" s="59"/>
      <c r="I194" s="59"/>
    </row>
    <row r="195" spans="6:9" ht="21" customHeight="1">
      <c r="F195" s="58"/>
      <c r="G195" s="59"/>
      <c r="H195" s="59"/>
      <c r="I195" s="59"/>
    </row>
    <row r="196" spans="6:9" ht="21" customHeight="1">
      <c r="F196" s="58"/>
      <c r="G196" s="59"/>
      <c r="H196" s="59"/>
      <c r="I196" s="59"/>
    </row>
    <row r="197" spans="6:9" ht="21" customHeight="1">
      <c r="F197" s="58"/>
      <c r="G197" s="59"/>
      <c r="H197" s="59"/>
      <c r="I197" s="59"/>
    </row>
    <row r="198" spans="6:9" ht="21" customHeight="1">
      <c r="F198" s="58"/>
      <c r="G198" s="59"/>
      <c r="H198" s="59"/>
      <c r="I198" s="59"/>
    </row>
    <row r="199" spans="6:9" ht="21" customHeight="1">
      <c r="F199" s="58"/>
      <c r="G199" s="59"/>
      <c r="H199" s="59"/>
      <c r="I199" s="59"/>
    </row>
    <row r="200" spans="6:9" ht="21" customHeight="1">
      <c r="F200" s="58"/>
      <c r="G200" s="59"/>
      <c r="H200" s="59"/>
      <c r="I200" s="59"/>
    </row>
    <row r="201" spans="6:9" ht="21" customHeight="1">
      <c r="F201" s="58"/>
      <c r="G201" s="59"/>
      <c r="H201" s="59"/>
      <c r="I201" s="59"/>
    </row>
    <row r="202" spans="6:9" ht="21" customHeight="1">
      <c r="F202" s="58"/>
      <c r="G202" s="59"/>
      <c r="H202" s="59"/>
      <c r="I202" s="59"/>
    </row>
    <row r="203" spans="6:9" ht="21" customHeight="1">
      <c r="F203" s="58"/>
      <c r="G203" s="59"/>
      <c r="H203" s="59"/>
      <c r="I203" s="59"/>
    </row>
    <row r="204" spans="6:9" ht="21" customHeight="1">
      <c r="F204" s="58"/>
      <c r="G204" s="59"/>
      <c r="H204" s="59"/>
      <c r="I204" s="59"/>
    </row>
    <row r="205" spans="6:9" ht="21" customHeight="1">
      <c r="F205" s="58"/>
      <c r="G205" s="59"/>
      <c r="H205" s="59"/>
      <c r="I205" s="59"/>
    </row>
    <row r="206" spans="6:9" ht="21" customHeight="1">
      <c r="F206" s="58"/>
      <c r="G206" s="59"/>
      <c r="H206" s="59"/>
      <c r="I206" s="59"/>
    </row>
    <row r="207" spans="6:9" ht="21" customHeight="1">
      <c r="F207" s="58"/>
      <c r="G207" s="59"/>
      <c r="H207" s="59"/>
      <c r="I207" s="59"/>
    </row>
    <row r="208" spans="6:9" ht="21" customHeight="1">
      <c r="F208" s="58"/>
      <c r="G208" s="59"/>
      <c r="H208" s="59"/>
      <c r="I208" s="59"/>
    </row>
    <row r="209" spans="6:9" ht="21" customHeight="1">
      <c r="F209" s="58"/>
      <c r="G209" s="59"/>
      <c r="H209" s="59"/>
      <c r="I209" s="59"/>
    </row>
    <row r="210" spans="6:9" ht="21" customHeight="1">
      <c r="F210" s="58"/>
      <c r="G210" s="59"/>
      <c r="H210" s="59"/>
      <c r="I210" s="59"/>
    </row>
    <row r="211" spans="6:9" ht="21" customHeight="1">
      <c r="F211" s="58"/>
      <c r="G211" s="59"/>
      <c r="H211" s="59"/>
      <c r="I211" s="59"/>
    </row>
    <row r="212" spans="6:9" ht="21" customHeight="1">
      <c r="F212" s="58"/>
      <c r="G212" s="59"/>
      <c r="H212" s="59"/>
      <c r="I212" s="59"/>
    </row>
    <row r="213" spans="6:9" ht="21" customHeight="1">
      <c r="F213" s="58"/>
      <c r="G213" s="59"/>
      <c r="H213" s="59"/>
      <c r="I213" s="59"/>
    </row>
    <row r="214" spans="6:9" ht="21" customHeight="1">
      <c r="F214" s="58"/>
      <c r="G214" s="59"/>
      <c r="H214" s="59"/>
      <c r="I214" s="59"/>
    </row>
    <row r="215" spans="6:9" ht="21" customHeight="1">
      <c r="F215" s="58"/>
      <c r="G215" s="59"/>
      <c r="H215" s="59"/>
      <c r="I215" s="59"/>
    </row>
    <row r="216" spans="6:9" ht="21" customHeight="1">
      <c r="F216" s="58"/>
      <c r="G216" s="59"/>
      <c r="H216" s="59"/>
      <c r="I216" s="59"/>
    </row>
    <row r="217" spans="6:9" ht="21" customHeight="1">
      <c r="F217" s="58"/>
      <c r="G217" s="59"/>
      <c r="H217" s="59"/>
      <c r="I217" s="59"/>
    </row>
    <row r="218" spans="6:9" ht="21" customHeight="1">
      <c r="F218" s="58"/>
      <c r="G218" s="59"/>
      <c r="H218" s="59"/>
      <c r="I218" s="59"/>
    </row>
    <row r="219" spans="6:9" ht="21" customHeight="1">
      <c r="F219" s="58"/>
      <c r="G219" s="59"/>
      <c r="H219" s="59"/>
      <c r="I219" s="59"/>
    </row>
    <row r="220" spans="6:9" ht="21" customHeight="1">
      <c r="F220" s="58"/>
      <c r="G220" s="59"/>
      <c r="H220" s="59"/>
      <c r="I220" s="59"/>
    </row>
    <row r="221" spans="6:9" ht="21" customHeight="1">
      <c r="F221" s="62"/>
      <c r="G221" s="59"/>
      <c r="H221" s="59"/>
      <c r="I221" s="59"/>
    </row>
  </sheetData>
  <sheetProtection selectLockedCells="1" autoFilter="0"/>
  <mergeCells count="2">
    <mergeCell ref="F1:H1"/>
    <mergeCell ref="J1:L1"/>
  </mergeCells>
  <conditionalFormatting sqref="F10:I101 F8:H9">
    <cfRule type="expression" dxfId="57" priority="5">
      <formula>AND($F8="þ", #REF!="þ")</formula>
    </cfRule>
    <cfRule type="expression" dxfId="56" priority="6">
      <formula>#REF!="þ"</formula>
    </cfRule>
    <cfRule type="expression" dxfId="55" priority="7">
      <formula>$F8="þ"</formula>
    </cfRule>
  </conditionalFormatting>
  <conditionalFormatting sqref="I9">
    <cfRule type="expression" dxfId="54" priority="11">
      <formula>AND($F8="þ", #REF!="þ")</formula>
    </cfRule>
    <cfRule type="expression" dxfId="53" priority="12">
      <formula>#REF!="þ"</formula>
    </cfRule>
    <cfRule type="expression" dxfId="52" priority="13">
      <formula>$F8="þ"</formula>
    </cfRule>
  </conditionalFormatting>
  <dataValidations count="6">
    <dataValidation allowBlank="1" showInputMessage="1" showErrorMessage="1" prompt="Enter Item in this column under this heading" sqref="H7:I7" xr:uid="{1B63DDB4-9E45-46DC-9E8E-9C587ABA9F86}"/>
    <dataValidation allowBlank="1" showInputMessage="1" showErrorMessage="1" prompt="Enter Category in this column under this heading" sqref="G7" xr:uid="{3D35A9B6-86F2-4178-8ED3-24A527E72A09}"/>
    <dataValidation allowBlank="1" showInputMessage="1" showErrorMessage="1" prompt="Enter 1 or a number greater than 1 to mark item as Done in this column under this heading. Use heading filters to find specific entries" sqref="F7" xr:uid="{969678BF-C5C0-4E93-B15D-4AD0B6F34630}"/>
    <dataValidation allowBlank="1" showInputMessage="1" showErrorMessage="1" prompt="Create Vacation Items Checklist in this worksheet. Enter details in Checklist table. Category slicer is in cell F3 and Tip in cell F9" sqref="A1:E5" xr:uid="{F00FACA1-F798-441E-874F-C326E0427064}"/>
    <dataValidation allowBlank="1" showInputMessage="1" showErrorMessage="1" prompt="Select cell H1 to clear checkmarks from Done column in Checklist table" sqref="H2:I5 F1" xr:uid="{B1F70C32-3C78-47C8-9990-6FD36FCD7EA7}"/>
    <dataValidation allowBlank="1" showInputMessage="1" sqref="I9:I37" xr:uid="{717C1742-5E86-4FE2-848D-DFB7183E3BDD}"/>
  </dataValidations>
  <printOptions horizontalCentered="1"/>
  <pageMargins left="0.5" right="0.5" top="1.35" bottom="0.75" header="0.55000000000000004" footer="0.3"/>
  <pageSetup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 id="{8E2B0DDA-295A-493D-BE14-31F5537AF9D9}">
            <x14:iconSet iconSet="3Symbols2" custom="1">
              <x14:cfvo type="percent">
                <xm:f>0</xm:f>
              </x14:cfvo>
              <x14:cfvo type="num">
                <xm:f>0</xm:f>
              </x14:cfvo>
              <x14:cfvo type="num">
                <xm:f>1</xm:f>
              </x14:cfvo>
              <x14:cfIcon iconSet="NoIcons" iconId="0"/>
              <x14:cfIcon iconSet="NoIcons" iconId="0"/>
              <x14:cfIcon iconSet="3Symbols2" iconId="2"/>
            </x14:iconSet>
          </x14:cfRule>
          <xm:sqref>G137 G11:G12 G17 G110 G116:G118 G174:G176 G178:G180 G182 G102:G103 G19:G93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xr:uid="{32C5B56E-0F23-4AA8-B205-C28552210653}">
          <x14:formula1>
            <xm:f>'Drop Down Selection'!$A$1:$A$99</xm:f>
          </x14:formula1>
          <xm:sqref>J8:J77</xm:sqref>
        </x14:dataValidation>
        <x14:dataValidation type="list" allowBlank="1" showInputMessage="1" showErrorMessage="1" xr:uid="{D7DB1370-8D69-42A0-9EB3-DE9B575686A8}">
          <x14:formula1>
            <xm:f>'Drop Down Selection'!$C$2:$C$25</xm:f>
          </x14:formula1>
          <xm:sqref>G6</xm:sqref>
        </x14:dataValidation>
        <x14:dataValidation type="list" allowBlank="1" showInputMessage="1" xr:uid="{72162ECE-49B5-4E24-876B-D691D98936BE}">
          <x14:formula1>
            <xm:f>'Fixed Cost Items'!$A:$A</xm:f>
          </x14:formula1>
          <xm:sqref>I38:I47 H9:H47</xm:sqref>
        </x14:dataValidation>
        <x14:dataValidation type="list" allowBlank="1" showInputMessage="1" xr:uid="{2A427A88-62AC-4B5B-ADA0-C7FABA9A6DF3}">
          <x14:formula1>
            <xm:f>'Client Info'!S2:S21</xm:f>
          </x14:formula1>
          <xm:sqref>G2</xm:sqref>
        </x14:dataValidation>
        <x14:dataValidation type="list" allowBlank="1" showInputMessage="1" xr:uid="{2957DAD3-A9E4-4750-BFD8-D868A1CFEF1B}">
          <x14:formula1>
            <xm:f>'Fixed Cost Items'!$H1:$H100</xm:f>
          </x14:formula1>
          <xm:sqref>H8</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A553D-9245-4DA9-8275-1B47C5F2DFE2}">
  <sheetPr codeName="Sheet2">
    <pageSetUpPr fitToPage="1"/>
  </sheetPr>
  <dimension ref="A1:K101"/>
  <sheetViews>
    <sheetView showGridLines="0" zoomScaleNormal="100" workbookViewId="0">
      <selection activeCell="I14" sqref="I14"/>
    </sheetView>
  </sheetViews>
  <sheetFormatPr defaultColWidth="8.85546875" defaultRowHeight="15"/>
  <cols>
    <col min="1" max="1" width="15.28515625" customWidth="1"/>
    <col min="2" max="2" width="8.5703125" bestFit="1" customWidth="1"/>
    <col min="3" max="3" width="2.140625" bestFit="1" customWidth="1"/>
    <col min="4" max="4" width="18.42578125" bestFit="1" customWidth="1"/>
    <col min="5" max="5" width="11.28515625" bestFit="1" customWidth="1"/>
    <col min="6" max="6" width="10.42578125" customWidth="1"/>
    <col min="7" max="8" width="10.28515625" customWidth="1"/>
    <col min="9" max="9" width="12.140625" customWidth="1"/>
    <col min="10" max="10" width="14.140625" bestFit="1" customWidth="1"/>
  </cols>
  <sheetData>
    <row r="1" spans="1:11" ht="30" customHeight="1">
      <c r="A1" s="90"/>
      <c r="B1" s="31"/>
      <c r="C1" s="31"/>
      <c r="D1" s="31"/>
      <c r="E1" s="31"/>
      <c r="F1" s="31"/>
      <c r="G1" s="31"/>
      <c r="H1" s="167" t="str">
        <f>'RC Checklist'!G6</f>
        <v>Quote</v>
      </c>
      <c r="I1" s="167"/>
      <c r="J1" s="168"/>
    </row>
    <row r="2" spans="1:11" ht="3.75" customHeight="1">
      <c r="A2" s="75"/>
      <c r="B2" s="1"/>
      <c r="C2" s="1"/>
      <c r="D2" s="1"/>
      <c r="E2" s="1"/>
      <c r="F2" s="1"/>
      <c r="G2" s="1"/>
      <c r="H2" s="31"/>
      <c r="I2" s="31"/>
      <c r="J2" s="91"/>
    </row>
    <row r="3" spans="1:11" ht="6.75" customHeight="1">
      <c r="A3" s="75"/>
      <c r="B3" s="1"/>
      <c r="C3" s="1"/>
      <c r="D3" s="1"/>
      <c r="E3" s="1"/>
      <c r="F3" s="1"/>
      <c r="G3" s="1"/>
      <c r="H3" s="1"/>
      <c r="I3" s="1"/>
      <c r="J3" s="37"/>
    </row>
    <row r="4" spans="1:11">
      <c r="A4" s="75"/>
      <c r="B4" s="1"/>
      <c r="C4" s="1"/>
      <c r="D4" s="1"/>
      <c r="E4" s="1"/>
      <c r="F4" s="1"/>
      <c r="G4" s="1"/>
      <c r="H4" s="32" t="s">
        <v>1</v>
      </c>
      <c r="I4" s="33"/>
      <c r="J4" s="34">
        <f ca="1">TODAY()</f>
        <v>43921</v>
      </c>
    </row>
    <row r="5" spans="1:11">
      <c r="A5" s="75"/>
      <c r="B5" s="1"/>
      <c r="C5" s="1"/>
      <c r="D5" s="1"/>
      <c r="E5" s="1"/>
      <c r="F5" s="1"/>
      <c r="G5" s="1"/>
      <c r="H5" s="32" t="s">
        <v>2</v>
      </c>
      <c r="I5" s="35"/>
      <c r="J5" s="50">
        <f>'Driving Code'!B16</f>
        <v>4438765309</v>
      </c>
    </row>
    <row r="6" spans="1:11" ht="18.75" customHeight="1">
      <c r="A6" s="75"/>
      <c r="B6" s="1"/>
      <c r="C6" s="1"/>
      <c r="D6" s="1"/>
      <c r="E6" s="1"/>
      <c r="F6" s="1"/>
      <c r="G6" s="1"/>
      <c r="H6" s="32" t="s">
        <v>9</v>
      </c>
      <c r="I6" s="35"/>
      <c r="J6" s="50">
        <f>'Driving Code'!B17</f>
        <v>4108765309</v>
      </c>
    </row>
    <row r="7" spans="1:11" ht="15.75" customHeight="1">
      <c r="A7" s="92"/>
      <c r="B7" s="2"/>
      <c r="C7" s="2"/>
      <c r="D7" s="2"/>
      <c r="E7" s="2"/>
      <c r="F7" s="1"/>
      <c r="G7" s="1"/>
      <c r="H7" s="101" t="s">
        <v>3</v>
      </c>
      <c r="I7" s="163" t="str">
        <f>IF('Driving Code'!B18=0, "-",'Driving Code'!B18)</f>
        <v>db@dabomb.com</v>
      </c>
      <c r="J7" s="164"/>
    </row>
    <row r="8" spans="1:11">
      <c r="A8" s="93" t="s">
        <v>6</v>
      </c>
      <c r="B8" s="169" t="str">
        <f>'RC Checklist'!G2</f>
        <v>*Client Name</v>
      </c>
      <c r="C8" s="169"/>
      <c r="D8" s="169"/>
      <c r="E8" s="169"/>
      <c r="F8" s="169"/>
      <c r="G8" s="37"/>
      <c r="H8" s="165" t="s">
        <v>4</v>
      </c>
      <c r="I8" s="166"/>
      <c r="J8" s="51">
        <f>'RC Checklist'!G5</f>
        <v>0</v>
      </c>
    </row>
    <row r="9" spans="1:11">
      <c r="A9" s="170" t="str">
        <f>_xlfn.CONCAT(VLOOKUP(B8,ClientInfo[],9,FALSE))</f>
        <v/>
      </c>
      <c r="B9" s="171"/>
      <c r="C9" s="171"/>
      <c r="D9" s="171"/>
      <c r="E9" s="171"/>
      <c r="F9" s="171"/>
      <c r="G9" s="37"/>
      <c r="H9" s="38" t="s">
        <v>5</v>
      </c>
      <c r="I9" s="39"/>
      <c r="J9" s="36"/>
    </row>
    <row r="10" spans="1:11">
      <c r="A10" s="170" t="str">
        <f>_xlfn.CONCAT(VLOOKUP(B8,ClientInfo[],10,FALSE),", ",VLOOKUP(B8,ClientInfo[],11,FALSE)," ", VLOOKUP(B8,ClientInfo[],12,FALSE))</f>
        <v xml:space="preserve">,  </v>
      </c>
      <c r="B10" s="171"/>
      <c r="C10" s="171"/>
      <c r="D10" s="171"/>
      <c r="E10" s="171"/>
      <c r="F10" s="171"/>
      <c r="G10" s="1"/>
      <c r="H10" s="102"/>
      <c r="I10" s="3"/>
      <c r="J10" s="94"/>
    </row>
    <row r="11" spans="1:11">
      <c r="A11" s="75"/>
      <c r="B11" s="1"/>
      <c r="C11" s="1"/>
      <c r="D11" s="1"/>
      <c r="E11" s="1"/>
      <c r="F11" s="1"/>
      <c r="G11" s="1"/>
      <c r="H11" s="1"/>
      <c r="I11" s="1"/>
      <c r="J11" s="37"/>
    </row>
    <row r="12" spans="1:11">
      <c r="A12" s="172" t="s">
        <v>3147</v>
      </c>
      <c r="B12" s="173"/>
      <c r="C12" s="173"/>
      <c r="D12" s="173"/>
      <c r="E12" s="173"/>
      <c r="F12" s="173"/>
      <c r="G12" s="173"/>
      <c r="H12" s="174"/>
      <c r="I12" s="40" t="s">
        <v>7</v>
      </c>
      <c r="J12" s="40"/>
    </row>
    <row r="13" spans="1:11" s="232" customFormat="1" ht="15.75" customHeight="1">
      <c r="A13" s="233" t="str">
        <f>_xlfn.CONCAT("Work to be done", 'RC Checklist'!J1:L1)</f>
        <v>Work to be doneThis is where the DESCRIPTION OF WORK goes</v>
      </c>
      <c r="B13" s="234"/>
      <c r="C13" s="234"/>
      <c r="D13" s="234"/>
      <c r="E13" s="234"/>
      <c r="F13" s="234"/>
      <c r="G13" s="234"/>
      <c r="H13" s="234"/>
      <c r="I13" s="230"/>
      <c r="J13" s="231"/>
    </row>
    <row r="14" spans="1:11" ht="15" customHeight="1">
      <c r="A14" s="161" t="str">
        <f>IFERROR(TRIM(INDEX(Checklist[Item], MATCH(ROWS($B$14:$B14),Checklist[frequency], 0))),"")</f>
        <v/>
      </c>
      <c r="B14" s="162"/>
      <c r="C14" s="162"/>
      <c r="D14" s="162"/>
      <c r="E14" s="162"/>
      <c r="F14" s="162"/>
      <c r="G14" s="162"/>
      <c r="H14" s="162"/>
      <c r="I14" s="1" t="str">
        <f>IFERROR(TRIM(INDEX(Checklist[Allowance], MATCH(ROWS($B$14:$B14),Checklist[frequency], 0))),"")</f>
        <v>ryjtfyj</v>
      </c>
      <c r="J14" s="155">
        <f>IFERROR((INDEX(Checklist[Cost], MATCH(ROWS($B$14:$B14),Checklist[frequency], 0))),"")</f>
        <v>0</v>
      </c>
      <c r="K14" s="1"/>
    </row>
    <row r="15" spans="1:11" ht="15" customHeight="1">
      <c r="A15" s="161" t="str">
        <f>IFERROR(TRIM(INDEX(Checklist[Item], MATCH(ROWS($B$14:$B15),Checklist[frequency], 0))),"")</f>
        <v/>
      </c>
      <c r="B15" s="162"/>
      <c r="C15" s="162"/>
      <c r="D15" s="162"/>
      <c r="E15" s="162"/>
      <c r="F15" s="162"/>
      <c r="G15" s="162"/>
      <c r="H15" s="162"/>
      <c r="I15" s="1" t="str">
        <f>IFERROR(TRIM(INDEX(Checklist[Allowance], MATCH(ROWS($B$14:$B15),Checklist[frequency], 0))),"")</f>
        <v/>
      </c>
      <c r="J15" s="155">
        <f>IFERROR((INDEX(Checklist[Cost], MATCH(ROWS($B$14:$B15),Checklist[frequency], 0))),"")</f>
        <v>0</v>
      </c>
      <c r="K15" s="1"/>
    </row>
    <row r="16" spans="1:11">
      <c r="A16" s="161" t="str">
        <f>IFERROR(TRIM(INDEX(Checklist[Item], MATCH(ROWS($B$14:$B16),Checklist[frequency], 0))),"")</f>
        <v/>
      </c>
      <c r="B16" s="162"/>
      <c r="C16" s="162"/>
      <c r="D16" s="162"/>
      <c r="E16" s="162"/>
      <c r="F16" s="162"/>
      <c r="G16" s="162"/>
      <c r="H16" s="162"/>
      <c r="I16" s="1" t="str">
        <f>IFERROR(TRIM(INDEX(Checklist[Allowance], MATCH(ROWS($B$14:$B16),Checklist[frequency], 0))),"")</f>
        <v/>
      </c>
      <c r="J16" s="155">
        <f>IFERROR((INDEX(Checklist[Cost], MATCH(ROWS($B$14:$B16),Checklist[frequency], 0))),"")</f>
        <v>0</v>
      </c>
      <c r="K16" s="1"/>
    </row>
    <row r="17" spans="1:11">
      <c r="A17" s="161" t="str">
        <f>IFERROR(TRIM(INDEX(Checklist[Item], MATCH(ROWS($B$14:$B17),Checklist[frequency], 0))),"")</f>
        <v>Add for lazy susan</v>
      </c>
      <c r="B17" s="162"/>
      <c r="C17" s="162"/>
      <c r="D17" s="162"/>
      <c r="E17" s="162"/>
      <c r="F17" s="162"/>
      <c r="G17" s="162"/>
      <c r="H17" s="162"/>
      <c r="I17" s="1" t="str">
        <f>IFERROR(TRIM(INDEX(Checklist[Allowance], MATCH(ROWS($B$14:$B17),Checklist[frequency], 0))),"")</f>
        <v>2 for 71</v>
      </c>
      <c r="J17" s="155">
        <f>IFERROR((INDEX(Checklist[Cost], MATCH(ROWS($B$14:$B17),Checklist[frequency], 0))),"")</f>
        <v>71.099999999999994</v>
      </c>
      <c r="K17" s="89"/>
    </row>
    <row r="18" spans="1:11">
      <c r="A18" s="161" t="str">
        <f>IFERROR(TRIM(INDEX(Checklist[Item], MATCH(ROWS($B$14:$B18),Checklist[frequency], 0))),"")</f>
        <v/>
      </c>
      <c r="B18" s="162"/>
      <c r="C18" s="162"/>
      <c r="D18" s="162"/>
      <c r="E18" s="162"/>
      <c r="F18" s="162"/>
      <c r="G18" s="162"/>
      <c r="H18" s="162"/>
      <c r="I18" s="1" t="str">
        <f>IFERROR(TRIM(INDEX(Checklist[Allowance], MATCH(ROWS($B$14:$B18),Checklist[frequency], 0))),"")</f>
        <v/>
      </c>
      <c r="J18" s="155" t="str">
        <f>IFERROR((INDEX(Checklist[Cost], MATCH(ROWS($B$14:$B18),Checklist[frequency], 0))),"")</f>
        <v/>
      </c>
      <c r="K18" s="1"/>
    </row>
    <row r="19" spans="1:11">
      <c r="A19" s="161" t="str">
        <f>IFERROR(TRIM(INDEX(Checklist[Item], MATCH(ROWS($B$14:$B19),Checklist[frequency], 0))),"")</f>
        <v/>
      </c>
      <c r="B19" s="162"/>
      <c r="C19" s="162"/>
      <c r="D19" s="162"/>
      <c r="E19" s="162"/>
      <c r="F19" s="162"/>
      <c r="G19" s="162"/>
      <c r="H19" s="162"/>
      <c r="I19" s="1" t="str">
        <f>IFERROR(TRIM(INDEX(Checklist[Allowance], MATCH(ROWS($B$14:$B19),Checklist[frequency], 0))),"")</f>
        <v/>
      </c>
      <c r="J19" s="155" t="str">
        <f>IFERROR((INDEX(Checklist[Cost], MATCH(ROWS($B$14:$B19),Checklist[frequency], 0))),"")</f>
        <v/>
      </c>
      <c r="K19" s="1"/>
    </row>
    <row r="20" spans="1:11">
      <c r="A20" s="161" t="str">
        <f>IFERROR(TRIM(INDEX(Checklist[Item], MATCH(ROWS($B$14:$B20),Checklist[frequency], 0))),"")</f>
        <v/>
      </c>
      <c r="B20" s="162"/>
      <c r="C20" s="162"/>
      <c r="D20" s="162"/>
      <c r="E20" s="162"/>
      <c r="F20" s="162"/>
      <c r="G20" s="162"/>
      <c r="H20" s="162"/>
      <c r="I20" s="1" t="str">
        <f>IFERROR(TRIM(INDEX(Checklist[Allowance], MATCH(ROWS($B$14:$B20),Checklist[frequency], 0))),"")</f>
        <v/>
      </c>
      <c r="J20" s="155" t="str">
        <f>IFERROR((INDEX(Checklist[Cost], MATCH(ROWS($B$14:$B20),Checklist[frequency], 0))),"")</f>
        <v/>
      </c>
    </row>
    <row r="21" spans="1:11">
      <c r="A21" s="161" t="str">
        <f>IFERROR(TRIM(INDEX(Checklist[Item], MATCH(ROWS($B$14:$B21),Checklist[frequency], 0))),"")</f>
        <v/>
      </c>
      <c r="B21" s="162"/>
      <c r="C21" s="162"/>
      <c r="D21" s="162"/>
      <c r="E21" s="162"/>
      <c r="F21" s="162"/>
      <c r="G21" s="162"/>
      <c r="H21" s="162"/>
      <c r="I21" s="1" t="str">
        <f>IFERROR(TRIM(INDEX(Checklist[Allowance], MATCH(ROWS($B$14:$B21),Checklist[frequency], 0))),"")</f>
        <v/>
      </c>
      <c r="J21" s="155" t="str">
        <f>IFERROR((INDEX(Checklist[Cost], MATCH(ROWS($B$14:$B21),Checklist[frequency], 0))),"")</f>
        <v/>
      </c>
    </row>
    <row r="22" spans="1:11">
      <c r="A22" s="161" t="str">
        <f>IFERROR(TRIM(INDEX(Checklist[Item], MATCH(ROWS($B$14:$B22),Checklist[frequency], 0))),"")</f>
        <v/>
      </c>
      <c r="B22" s="162"/>
      <c r="C22" s="162"/>
      <c r="D22" s="162"/>
      <c r="E22" s="162"/>
      <c r="F22" s="162"/>
      <c r="G22" s="162"/>
      <c r="H22" s="162"/>
      <c r="I22" s="1" t="str">
        <f>IFERROR(TRIM(INDEX(Checklist[Allowance], MATCH(ROWS($B$14:$B22),Checklist[frequency], 0))),"")</f>
        <v/>
      </c>
      <c r="J22" s="155" t="str">
        <f>IFERROR((INDEX(Checklist[Cost], MATCH(ROWS($B$14:$B22),Checklist[frequency], 0))),"")</f>
        <v/>
      </c>
    </row>
    <row r="23" spans="1:11">
      <c r="A23" s="161" t="str">
        <f>IFERROR(TRIM(INDEX(Checklist[Item], MATCH(ROWS($B$14:$B23),Checklist[frequency], 0))),"")</f>
        <v/>
      </c>
      <c r="B23" s="162"/>
      <c r="C23" s="162"/>
      <c r="D23" s="162"/>
      <c r="E23" s="162"/>
      <c r="F23" s="162"/>
      <c r="G23" s="162"/>
      <c r="H23" s="162"/>
      <c r="I23" s="1" t="str">
        <f>IFERROR(TRIM(INDEX(Checklist[Allowance], MATCH(ROWS($B$14:$B23),Checklist[frequency], 0))),"")</f>
        <v/>
      </c>
      <c r="J23" s="155" t="str">
        <f>IFERROR((INDEX(Checklist[Cost], MATCH(ROWS($B$14:$B23),Checklist[frequency], 0))),"")</f>
        <v/>
      </c>
    </row>
    <row r="24" spans="1:11">
      <c r="A24" s="161" t="str">
        <f>IFERROR(TRIM(INDEX(Checklist[Item], MATCH(ROWS($B$14:$B24),Checklist[frequency], 0))),"")</f>
        <v/>
      </c>
      <c r="B24" s="162"/>
      <c r="C24" s="162"/>
      <c r="D24" s="162"/>
      <c r="E24" s="162"/>
      <c r="F24" s="162"/>
      <c r="G24" s="162"/>
      <c r="H24" s="162"/>
      <c r="I24" s="1" t="str">
        <f>IFERROR(TRIM(INDEX(Checklist[Allowance], MATCH(ROWS($B$14:$B24),Checklist[frequency], 0))),"")</f>
        <v/>
      </c>
      <c r="J24" s="155" t="str">
        <f>IFERROR((INDEX(Checklist[Cost], MATCH(ROWS($B$14:$B24),Checklist[frequency], 0))),"")</f>
        <v/>
      </c>
    </row>
    <row r="25" spans="1:11">
      <c r="A25" s="161" t="str">
        <f>IFERROR(TRIM(INDEX(Checklist[Item], MATCH(ROWS($B$14:$B25),Checklist[frequency], 0))),"")</f>
        <v/>
      </c>
      <c r="B25" s="162"/>
      <c r="C25" s="162"/>
      <c r="D25" s="162"/>
      <c r="E25" s="162"/>
      <c r="F25" s="162"/>
      <c r="G25" s="162"/>
      <c r="H25" s="162"/>
      <c r="I25" s="1" t="str">
        <f>IFERROR(TRIM(INDEX(Checklist[Allowance], MATCH(ROWS($B$14:$B25),Checklist[frequency], 0))),"")</f>
        <v/>
      </c>
      <c r="J25" s="155" t="str">
        <f>IFERROR((INDEX(Checklist[Cost], MATCH(ROWS($B$14:$B25),Checklist[frequency], 0))),"")</f>
        <v/>
      </c>
    </row>
    <row r="26" spans="1:11">
      <c r="A26" s="161" t="str">
        <f>IFERROR(TRIM(INDEX(Checklist[Item], MATCH(ROWS($B$14:$B26),Checklist[frequency], 0))),"")</f>
        <v/>
      </c>
      <c r="B26" s="162"/>
      <c r="C26" s="162"/>
      <c r="D26" s="162"/>
      <c r="E26" s="162"/>
      <c r="F26" s="162"/>
      <c r="G26" s="162"/>
      <c r="H26" s="162"/>
      <c r="I26" s="1" t="str">
        <f>IFERROR(TRIM(INDEX(Checklist[Allowance], MATCH(ROWS($B$14:$B26),Checklist[frequency], 0))),"")</f>
        <v/>
      </c>
      <c r="J26" s="155" t="str">
        <f>IFERROR((INDEX(Checklist[Cost], MATCH(ROWS($B$14:$B26),Checklist[frequency], 0))),"")</f>
        <v/>
      </c>
    </row>
    <row r="27" spans="1:11">
      <c r="A27" s="161" t="str">
        <f>IFERROR(TRIM(INDEX(Checklist[Item], MATCH(ROWS($B$14:$B27),Checklist[frequency], 0))),"")</f>
        <v/>
      </c>
      <c r="B27" s="162"/>
      <c r="C27" s="162"/>
      <c r="D27" s="162"/>
      <c r="E27" s="162"/>
      <c r="F27" s="162"/>
      <c r="G27" s="162"/>
      <c r="H27" s="162"/>
      <c r="I27" s="1" t="str">
        <f>IFERROR(TRIM(INDEX(Checklist[Allowance], MATCH(ROWS($B$14:$B27),Checklist[frequency], 0))),"")</f>
        <v/>
      </c>
      <c r="J27" s="155" t="str">
        <f>IFERROR((INDEX(Checklist[Cost], MATCH(ROWS($B$14:$B27),Checklist[frequency], 0))),"")</f>
        <v/>
      </c>
    </row>
    <row r="28" spans="1:11">
      <c r="A28" s="161" t="str">
        <f>IFERROR(TRIM(INDEX(Checklist[Item], MATCH(ROWS($B$14:$B28),Checklist[frequency], 0))),"")</f>
        <v/>
      </c>
      <c r="B28" s="162"/>
      <c r="C28" s="162"/>
      <c r="D28" s="162"/>
      <c r="E28" s="162"/>
      <c r="F28" s="162"/>
      <c r="G28" s="162"/>
      <c r="H28" s="162"/>
      <c r="I28" s="1" t="str">
        <f>IFERROR(TRIM(INDEX(Checklist[Allowance], MATCH(ROWS($B$14:$B28),Checklist[frequency], 0))),"")</f>
        <v/>
      </c>
      <c r="J28" s="155" t="str">
        <f>IFERROR((INDEX(Checklist[Cost], MATCH(ROWS($B$14:$B28),Checklist[frequency], 0))),"")</f>
        <v/>
      </c>
    </row>
    <row r="29" spans="1:11">
      <c r="A29" s="161" t="str">
        <f>IFERROR(TRIM(INDEX(Checklist[Item], MATCH(ROWS($B$14:$B29),Checklist[frequency], 0))),"")</f>
        <v/>
      </c>
      <c r="B29" s="162"/>
      <c r="C29" s="162"/>
      <c r="D29" s="162"/>
      <c r="E29" s="162"/>
      <c r="F29" s="162"/>
      <c r="G29" s="162"/>
      <c r="H29" s="162"/>
      <c r="I29" s="1" t="str">
        <f>IFERROR(TRIM(INDEX(Checklist[Allowance], MATCH(ROWS($B$14:$B29),Checklist[frequency], 0))),"")</f>
        <v/>
      </c>
      <c r="J29" s="155" t="str">
        <f>IFERROR((INDEX(Checklist[Cost], MATCH(ROWS($B$14:$B29),Checklist[frequency], 0))),"")</f>
        <v/>
      </c>
    </row>
    <row r="30" spans="1:11">
      <c r="A30" s="161" t="str">
        <f>IFERROR(TRIM(INDEX(Checklist[Item], MATCH(ROWS($B$14:$B30),Checklist[frequency], 0))),"")</f>
        <v/>
      </c>
      <c r="B30" s="162"/>
      <c r="C30" s="162"/>
      <c r="D30" s="162"/>
      <c r="E30" s="162"/>
      <c r="F30" s="162"/>
      <c r="G30" s="162"/>
      <c r="H30" s="162"/>
      <c r="I30" s="1" t="str">
        <f>IFERROR(TRIM(INDEX(Checklist[Allowance], MATCH(ROWS($B$14:$B30),Checklist[frequency], 0))),"")</f>
        <v/>
      </c>
      <c r="J30" s="155" t="str">
        <f>IFERROR((INDEX(Checklist[Cost], MATCH(ROWS($B$14:$B30),Checklist[frequency], 0))),"")</f>
        <v/>
      </c>
    </row>
    <row r="31" spans="1:11">
      <c r="A31" s="161" t="str">
        <f>IFERROR(TRIM(INDEX(Checklist[Item], MATCH(ROWS($B$14:$B31),Checklist[frequency], 0))),"")</f>
        <v/>
      </c>
      <c r="B31" s="162"/>
      <c r="C31" s="162"/>
      <c r="D31" s="162"/>
      <c r="E31" s="162"/>
      <c r="F31" s="162"/>
      <c r="G31" s="162"/>
      <c r="H31" s="162"/>
      <c r="I31" s="1" t="str">
        <f>IFERROR(TRIM(INDEX(Checklist[Allowance], MATCH(ROWS($B$14:$B31),Checklist[frequency], 0))),"")</f>
        <v/>
      </c>
      <c r="J31" s="155" t="str">
        <f>IFERROR((INDEX(Checklist[Cost], MATCH(ROWS($B$14:$B31),Checklist[frequency], 0))),"")</f>
        <v/>
      </c>
    </row>
    <row r="32" spans="1:11">
      <c r="A32" s="161" t="str">
        <f>IFERROR(TRIM(INDEX(Checklist[Item], MATCH(ROWS($B$14:$B32),Checklist[frequency], 0))),"")</f>
        <v/>
      </c>
      <c r="B32" s="162"/>
      <c r="C32" s="162"/>
      <c r="D32" s="162"/>
      <c r="E32" s="162"/>
      <c r="F32" s="162"/>
      <c r="G32" s="162"/>
      <c r="H32" s="162"/>
      <c r="I32" s="1" t="str">
        <f>IFERROR(TRIM(INDEX(Checklist[Allowance], MATCH(ROWS($B$14:$B32),Checklist[frequency], 0))),"")</f>
        <v/>
      </c>
      <c r="J32" s="155" t="str">
        <f>IFERROR((INDEX(Checklist[Cost], MATCH(ROWS($B$14:$B32),Checklist[frequency], 0))),"")</f>
        <v/>
      </c>
    </row>
    <row r="33" spans="1:10">
      <c r="A33" s="161" t="str">
        <f>IFERROR(TRIM(INDEX(Checklist[Item], MATCH(ROWS($B$14:$B33),Checklist[frequency], 0))),"")</f>
        <v/>
      </c>
      <c r="B33" s="162"/>
      <c r="C33" s="162"/>
      <c r="D33" s="162"/>
      <c r="E33" s="162"/>
      <c r="F33" s="162"/>
      <c r="G33" s="162"/>
      <c r="H33" s="162"/>
      <c r="I33" s="1" t="str">
        <f>IFERROR(TRIM(INDEX(Checklist[Allowance], MATCH(ROWS($B$14:$B33),Checklist[frequency], 0))),"")</f>
        <v/>
      </c>
      <c r="J33" s="155" t="str">
        <f>IFERROR((INDEX(Checklist[Cost], MATCH(ROWS($B$14:$B33),Checklist[frequency], 0))),"")</f>
        <v/>
      </c>
    </row>
    <row r="34" spans="1:10">
      <c r="A34" s="161" t="str">
        <f>IFERROR(TRIM(INDEX(Checklist[Item], MATCH(ROWS($B$14:$B34),Checklist[frequency], 0))),"")</f>
        <v/>
      </c>
      <c r="B34" s="162"/>
      <c r="C34" s="162"/>
      <c r="D34" s="162"/>
      <c r="E34" s="162"/>
      <c r="F34" s="162"/>
      <c r="G34" s="162"/>
      <c r="H34" s="162"/>
      <c r="I34" s="1" t="str">
        <f>IFERROR(TRIM(INDEX(Checklist[Allowance], MATCH(ROWS($B$14:$B34),Checklist[frequency], 0))),"")</f>
        <v/>
      </c>
      <c r="J34" s="155" t="str">
        <f>IFERROR((INDEX(Checklist[Cost], MATCH(ROWS($B$14:$B34),Checklist[frequency], 0))),"")</f>
        <v/>
      </c>
    </row>
    <row r="35" spans="1:10">
      <c r="A35" s="161" t="str">
        <f>IFERROR(TRIM(INDEX(Checklist[Item], MATCH(ROWS($B$14:$B35),Checklist[frequency], 0))),"")</f>
        <v/>
      </c>
      <c r="B35" s="162"/>
      <c r="C35" s="162"/>
      <c r="D35" s="162"/>
      <c r="E35" s="162"/>
      <c r="F35" s="162"/>
      <c r="G35" s="162"/>
      <c r="H35" s="162"/>
      <c r="I35" s="1" t="str">
        <f>IFERROR(TRIM(INDEX(Checklist[Allowance], MATCH(ROWS($B$14:$B35),Checklist[frequency], 0))),"")</f>
        <v/>
      </c>
      <c r="J35" s="155" t="str">
        <f>IFERROR((INDEX(Checklist[Cost], MATCH(ROWS($B$14:$B35),Checklist[frequency], 0))),"")</f>
        <v/>
      </c>
    </row>
    <row r="36" spans="1:10">
      <c r="A36" s="161" t="str">
        <f>IFERROR(TRIM(INDEX(Checklist[Item], MATCH(ROWS($B$14:$B36),Checklist[frequency], 0))),"")</f>
        <v/>
      </c>
      <c r="B36" s="162"/>
      <c r="C36" s="162"/>
      <c r="D36" s="162"/>
      <c r="E36" s="162"/>
      <c r="F36" s="162"/>
      <c r="G36" s="162"/>
      <c r="H36" s="162"/>
      <c r="I36" s="1" t="str">
        <f>IFERROR(TRIM(INDEX(Checklist[Allowance], MATCH(ROWS($B$14:$B36),Checklist[frequency], 0))),"")</f>
        <v/>
      </c>
      <c r="J36" s="155" t="str">
        <f>IFERROR((INDEX(Checklist[Cost], MATCH(ROWS($B$14:$B36),Checklist[frequency], 0))),"")</f>
        <v/>
      </c>
    </row>
    <row r="37" spans="1:10">
      <c r="A37" s="161" t="str">
        <f>IFERROR(TRIM(INDEX(Checklist[Item], MATCH(ROWS($B$14:$B37),Checklist[frequency], 0))),"")</f>
        <v/>
      </c>
      <c r="B37" s="162"/>
      <c r="C37" s="162"/>
      <c r="D37" s="162"/>
      <c r="E37" s="162"/>
      <c r="F37" s="162"/>
      <c r="G37" s="162"/>
      <c r="H37" s="162"/>
      <c r="I37" s="1" t="str">
        <f>IFERROR(TRIM(INDEX(Checklist[Allowance], MATCH(ROWS($B$14:$B37),Checklist[frequency], 0))),"")</f>
        <v/>
      </c>
      <c r="J37" s="155" t="str">
        <f>IFERROR((INDEX(Checklist[Cost], MATCH(ROWS($B$14:$B37),Checklist[frequency], 0))),"")</f>
        <v/>
      </c>
    </row>
    <row r="38" spans="1:10">
      <c r="A38" s="161" t="str">
        <f>IFERROR(TRIM(INDEX(Checklist[Item], MATCH(ROWS($B$14:$B38),Checklist[frequency], 0))),"")</f>
        <v/>
      </c>
      <c r="B38" s="162"/>
      <c r="C38" s="162"/>
      <c r="D38" s="162"/>
      <c r="E38" s="162"/>
      <c r="F38" s="162"/>
      <c r="G38" s="162"/>
      <c r="H38" s="162"/>
      <c r="I38" s="1" t="str">
        <f>IFERROR(TRIM(INDEX(Checklist[Allowance], MATCH(ROWS($B$14:$B38),Checklist[frequency], 0))),"")</f>
        <v/>
      </c>
      <c r="J38" s="155" t="str">
        <f>IFERROR((INDEX(Checklist[Cost], MATCH(ROWS($B$14:$B38),Checklist[frequency], 0))),"")</f>
        <v/>
      </c>
    </row>
    <row r="39" spans="1:10">
      <c r="A39" s="161" t="str">
        <f>IFERROR(TRIM(INDEX(Checklist[Item], MATCH(ROWS($B$14:$B39),Checklist[frequency], 0))),"")</f>
        <v/>
      </c>
      <c r="B39" s="162"/>
      <c r="C39" s="162"/>
      <c r="D39" s="162"/>
      <c r="E39" s="162"/>
      <c r="F39" s="162"/>
      <c r="G39" s="162"/>
      <c r="H39" s="162"/>
      <c r="I39" s="1" t="str">
        <f>IFERROR(TRIM(INDEX(Checklist[Allowance], MATCH(ROWS($B$14:$B39),Checklist[frequency], 0))),"")</f>
        <v/>
      </c>
      <c r="J39" s="155" t="str">
        <f>IFERROR((INDEX(Checklist[Cost], MATCH(ROWS($B$14:$B39),Checklist[frequency], 0))),"")</f>
        <v/>
      </c>
    </row>
    <row r="40" spans="1:10">
      <c r="A40" s="175" t="s">
        <v>2980</v>
      </c>
      <c r="B40" s="176"/>
      <c r="C40" s="176"/>
      <c r="D40" s="176"/>
      <c r="E40" s="176"/>
      <c r="F40" s="176"/>
      <c r="G40" s="176"/>
      <c r="H40" s="176"/>
      <c r="I40" s="4"/>
      <c r="J40" s="41"/>
    </row>
    <row r="41" spans="1:10">
      <c r="A41" s="179" t="str">
        <f>IFERROR(TRIM(INDEX(Checklist[Item], MATCH(ROWS($B$41:$B41),Checklist[freqmaterial], 0))),"")</f>
        <v/>
      </c>
      <c r="B41" s="180"/>
      <c r="C41" s="180"/>
      <c r="D41" s="180"/>
      <c r="E41" s="180"/>
      <c r="F41" s="180"/>
      <c r="G41" s="180"/>
      <c r="H41" s="180"/>
      <c r="I41" s="4"/>
      <c r="J41" s="41"/>
    </row>
    <row r="42" spans="1:10">
      <c r="A42" s="179" t="str">
        <f>IFERROR(TRIM(INDEX(Checklist[Item], MATCH(ROWS($B$41:$B42),Checklist[freqmaterial], 0))),"")</f>
        <v/>
      </c>
      <c r="B42" s="180"/>
      <c r="C42" s="180"/>
      <c r="D42" s="180"/>
      <c r="E42" s="180"/>
      <c r="F42" s="180"/>
      <c r="G42" s="180"/>
      <c r="H42" s="180"/>
      <c r="I42" s="4"/>
      <c r="J42" s="41"/>
    </row>
    <row r="43" spans="1:10">
      <c r="A43" s="179" t="str">
        <f>IFERROR(TRIM(INDEX(Checklist[Item], MATCH(ROWS($B$41:$B43),Checklist[freqmaterial], 0))),"")</f>
        <v/>
      </c>
      <c r="B43" s="180"/>
      <c r="C43" s="180"/>
      <c r="D43" s="180"/>
      <c r="E43" s="180"/>
      <c r="F43" s="180"/>
      <c r="G43" s="180"/>
      <c r="H43" s="180"/>
      <c r="I43" s="4"/>
      <c r="J43" s="41"/>
    </row>
    <row r="44" spans="1:10">
      <c r="A44" s="179" t="str">
        <f>IFERROR(TRIM(INDEX(Checklist[Item], MATCH(ROWS($B$41:$B44),Checklist[freqmaterial], 0))),"")</f>
        <v/>
      </c>
      <c r="B44" s="180"/>
      <c r="C44" s="180"/>
      <c r="D44" s="180"/>
      <c r="E44" s="180"/>
      <c r="F44" s="180"/>
      <c r="G44" s="180"/>
      <c r="H44" s="180"/>
      <c r="I44" s="4"/>
      <c r="J44" s="41"/>
    </row>
    <row r="45" spans="1:10">
      <c r="A45" s="175" t="s">
        <v>3023</v>
      </c>
      <c r="B45" s="176"/>
      <c r="C45" s="176"/>
      <c r="D45" s="176"/>
      <c r="E45" s="176"/>
      <c r="F45" s="176"/>
      <c r="G45" s="176"/>
      <c r="H45" s="176"/>
      <c r="I45" s="4"/>
      <c r="J45" s="41"/>
    </row>
    <row r="46" spans="1:10">
      <c r="A46" s="181" t="str">
        <f>IFERROR(TRIM(INDEX(Checklist[Item], MATCH(ROWS($B$46:$B46),Checklist[freqnotes], 0))),"")</f>
        <v>This contract and pricing is good for 15 days from the date of this contract.</v>
      </c>
      <c r="B46" s="182"/>
      <c r="C46" s="182"/>
      <c r="D46" s="182"/>
      <c r="E46" s="182"/>
      <c r="F46" s="182"/>
      <c r="G46" s="182"/>
      <c r="H46" s="182"/>
      <c r="I46" s="4"/>
      <c r="J46" s="41"/>
    </row>
    <row r="47" spans="1:10">
      <c r="A47" s="181" t="str">
        <f>IFERROR(TRIM(INDEX(Checklist[Item], MATCH(ROWS($B$46:$B47),Checklist[freqnotes], 0))),"")</f>
        <v/>
      </c>
      <c r="B47" s="182"/>
      <c r="C47" s="182"/>
      <c r="D47" s="182"/>
      <c r="E47" s="182"/>
      <c r="F47" s="182"/>
      <c r="G47" s="182"/>
      <c r="H47" s="182"/>
      <c r="I47" s="4"/>
      <c r="J47" s="41"/>
    </row>
    <row r="48" spans="1:10">
      <c r="A48" s="175" t="s">
        <v>2981</v>
      </c>
      <c r="B48" s="176"/>
      <c r="C48" s="176"/>
      <c r="D48" s="176"/>
      <c r="E48" s="176"/>
      <c r="F48" s="176"/>
      <c r="G48" s="176"/>
      <c r="H48" s="176"/>
      <c r="I48" s="4"/>
      <c r="J48" s="41"/>
    </row>
    <row r="49" spans="1:11">
      <c r="A49" s="177" t="str">
        <f>IFERROR(_xlfn.CONCAT(DOLLAR(IFERROR(INDEX(Checklist[Cost],MATCH(ROWS($B$49:$B49),Checklist[freqdraw],0)),""),0)," due at time of ",TRIM(IFERROR(INDEX(Checklist[Item],MATCH(ROWS($B$49:$B49),Checklist[freqdraw],0)),"")))," ")</f>
        <v>$100 due at time of Completion</v>
      </c>
      <c r="B49" s="178"/>
      <c r="C49" s="178"/>
      <c r="D49" s="178"/>
      <c r="E49" s="178"/>
      <c r="F49" s="178"/>
      <c r="G49" s="178"/>
      <c r="H49" s="178"/>
      <c r="I49" s="4"/>
      <c r="J49" s="41"/>
    </row>
    <row r="50" spans="1:11">
      <c r="A50" s="177" t="str">
        <f>IFERROR(_xlfn.CONCAT(DOLLAR(IFERROR(INDEX(Checklist[Cost],MATCH(ROWS($B$49:$B50),Checklist[freqdraw],0)),""),0)," due at time of ",TRIM(IFERROR(INDEX(Checklist[Item],MATCH(ROWS($B$49:$B50),Checklist[freqdraw],0)),"")))," ")</f>
        <v xml:space="preserve"> </v>
      </c>
      <c r="B50" s="178"/>
      <c r="C50" s="178"/>
      <c r="D50" s="178"/>
      <c r="E50" s="178"/>
      <c r="F50" s="178"/>
      <c r="G50" s="178"/>
      <c r="H50" s="178"/>
      <c r="I50" s="4"/>
      <c r="J50" s="41"/>
    </row>
    <row r="51" spans="1:11">
      <c r="A51" s="177" t="str">
        <f>IFERROR(_xlfn.CONCAT(DOLLAR(IFERROR(INDEX(Checklist[Cost],MATCH(ROWS($B$49:$B51),Checklist[freqdraw],0)),""),0)," due at time of ",TRIM(IFERROR(INDEX(Checklist[Item],MATCH(ROWS($B$49:$B51),Checklist[freqdraw],0)),"")))," ")</f>
        <v xml:space="preserve"> </v>
      </c>
      <c r="B51" s="178"/>
      <c r="C51" s="178"/>
      <c r="D51" s="178"/>
      <c r="E51" s="178"/>
      <c r="F51" s="178"/>
      <c r="G51" s="178"/>
      <c r="H51" s="178"/>
      <c r="I51" s="4"/>
      <c r="J51" s="41"/>
    </row>
    <row r="52" spans="1:11">
      <c r="A52" s="177" t="str">
        <f>IFERROR(_xlfn.CONCAT(DOLLAR(IFERROR(INDEX(Checklist[Cost],MATCH(ROWS($B$49:$B52),Checklist[freqdraw],0)),""),0)," due at time of ",TRIM(IFERROR(INDEX(Checklist[Item],MATCH(ROWS($B$49:$B52),Checklist[freqdraw],0)),"")))," ")</f>
        <v xml:space="preserve"> </v>
      </c>
      <c r="B52" s="178"/>
      <c r="C52" s="178"/>
      <c r="D52" s="178"/>
      <c r="E52" s="178"/>
      <c r="F52" s="178"/>
      <c r="G52" s="178"/>
      <c r="H52" s="178"/>
      <c r="I52" s="4"/>
      <c r="J52" s="41"/>
    </row>
    <row r="53" spans="1:11">
      <c r="A53" s="177" t="str">
        <f>IFERROR(_xlfn.CONCAT(DOLLAR(IFERROR(INDEX(Checklist[Cost],MATCH(ROWS($B$49:$B53),Checklist[freqdraw],0)),""),0)," due at time of ",TRIM(IFERROR(INDEX(Checklist[Item],MATCH(ROWS($B$49:$B53),Checklist[freqdraw],0)),"")))," ")</f>
        <v xml:space="preserve"> </v>
      </c>
      <c r="B53" s="178"/>
      <c r="C53" s="178"/>
      <c r="D53" s="178"/>
      <c r="E53" s="178"/>
      <c r="F53" s="178"/>
      <c r="G53" s="178"/>
      <c r="H53" s="178"/>
      <c r="I53" s="4"/>
      <c r="J53" s="41"/>
      <c r="K53" s="1"/>
    </row>
    <row r="54" spans="1:11">
      <c r="A54" s="177" t="str">
        <f>IFERROR(_xlfn.CONCAT(DOLLAR(IFERROR(INDEX(Checklist[Cost],MATCH(ROWS($B$49:$B54),Checklist[freqdraw],0)),""),0)," due at time of ",TRIM(IFERROR(INDEX(Checklist[Item],MATCH(ROWS($B$49:$B54),Checklist[freqdraw],0)),"")))," ")</f>
        <v xml:space="preserve"> </v>
      </c>
      <c r="B54" s="178"/>
      <c r="C54" s="178"/>
      <c r="D54" s="178"/>
      <c r="E54" s="178"/>
      <c r="F54" s="178"/>
      <c r="G54" s="178"/>
      <c r="H54" s="178"/>
      <c r="I54" s="4"/>
      <c r="J54" s="41"/>
      <c r="K54" s="1"/>
    </row>
    <row r="55" spans="1:11">
      <c r="A55" s="177" t="str">
        <f>IFERROR(_xlfn.CONCAT(DOLLAR(IFERROR(INDEX(Checklist[Cost],MATCH(ROWS($B$49:$B55),Checklist[freqdraw],0)),""),0)," due at time of ",TRIM(IFERROR(INDEX(Checklist[Item],MATCH(ROWS($B$49:$B55),Checklist[freqdraw],0)),"")))," ")</f>
        <v xml:space="preserve"> </v>
      </c>
      <c r="B55" s="178"/>
      <c r="C55" s="178"/>
      <c r="D55" s="178"/>
      <c r="E55" s="178"/>
      <c r="F55" s="178"/>
      <c r="G55" s="178"/>
      <c r="H55" s="178"/>
      <c r="I55" s="4"/>
      <c r="J55" s="41"/>
    </row>
    <row r="56" spans="1:11">
      <c r="A56" s="177" t="str">
        <f>IFERROR(_xlfn.CONCAT(DOLLAR(IFERROR(INDEX(Checklist[Cost],MATCH(ROWS($B$49:$B56),Checklist[freqdraw],0)),""),0)," due at time of ",TRIM(IFERROR(INDEX(Checklist[Item],MATCH(ROWS($B$49:$B56),Checklist[freqdraw],0)),"")))," ")</f>
        <v xml:space="preserve"> </v>
      </c>
      <c r="B56" s="178"/>
      <c r="C56" s="178"/>
      <c r="D56" s="178"/>
      <c r="E56" s="178"/>
      <c r="F56" s="178"/>
      <c r="G56" s="178"/>
      <c r="H56" s="178"/>
      <c r="I56" s="141" t="s">
        <v>3118</v>
      </c>
      <c r="J56" s="122">
        <f>'Driving Code'!D10</f>
        <v>10</v>
      </c>
    </row>
    <row r="57" spans="1:11">
      <c r="A57" s="189"/>
      <c r="B57" s="190"/>
      <c r="C57" s="190"/>
      <c r="D57" s="190"/>
      <c r="E57" s="190"/>
      <c r="F57" s="190"/>
      <c r="G57" s="191" t="s">
        <v>10</v>
      </c>
      <c r="H57" s="191"/>
      <c r="I57" s="192"/>
      <c r="J57" s="122">
        <f>'Driving Code'!C2</f>
        <v>100</v>
      </c>
    </row>
    <row r="58" spans="1:11" ht="3.95" customHeight="1">
      <c r="A58" s="42"/>
      <c r="B58" s="23"/>
      <c r="C58" s="23"/>
      <c r="D58" s="23"/>
      <c r="E58" s="23"/>
      <c r="F58" s="23"/>
      <c r="G58" s="24"/>
      <c r="H58" s="24"/>
      <c r="I58" s="24"/>
      <c r="J58" s="43"/>
    </row>
    <row r="59" spans="1:11" ht="21" customHeight="1">
      <c r="A59" s="193" t="s">
        <v>15</v>
      </c>
      <c r="B59" s="194"/>
      <c r="C59" s="194"/>
      <c r="D59" s="194"/>
      <c r="E59" s="194"/>
      <c r="F59" s="194"/>
      <c r="G59" s="194"/>
      <c r="H59" s="194"/>
      <c r="I59" s="194"/>
      <c r="J59" s="195"/>
    </row>
    <row r="60" spans="1:11" ht="15" customHeight="1">
      <c r="A60" s="193"/>
      <c r="B60" s="194"/>
      <c r="C60" s="194"/>
      <c r="D60" s="194"/>
      <c r="E60" s="194"/>
      <c r="F60" s="194"/>
      <c r="G60" s="194"/>
      <c r="H60" s="194"/>
      <c r="I60" s="194"/>
      <c r="J60" s="195"/>
    </row>
    <row r="61" spans="1:11" ht="0.95" hidden="1" customHeight="1">
      <c r="A61" s="193"/>
      <c r="B61" s="194"/>
      <c r="C61" s="194"/>
      <c r="D61" s="194"/>
      <c r="E61" s="194"/>
      <c r="F61" s="194"/>
      <c r="G61" s="194"/>
      <c r="H61" s="194"/>
      <c r="I61" s="194"/>
      <c r="J61" s="195"/>
    </row>
    <row r="62" spans="1:11" ht="15" hidden="1" customHeight="1">
      <c r="A62" s="193"/>
      <c r="B62" s="194"/>
      <c r="C62" s="194"/>
      <c r="D62" s="194"/>
      <c r="E62" s="194"/>
      <c r="F62" s="194"/>
      <c r="G62" s="194"/>
      <c r="H62" s="194"/>
      <c r="I62" s="194"/>
      <c r="J62" s="195"/>
    </row>
    <row r="63" spans="1:11" ht="14.1" customHeight="1">
      <c r="A63" s="44" t="s">
        <v>16</v>
      </c>
      <c r="B63" s="5"/>
      <c r="C63" s="6"/>
      <c r="D63" s="6"/>
      <c r="E63" s="6"/>
      <c r="F63" s="6"/>
      <c r="G63" s="6"/>
      <c r="H63" s="6"/>
      <c r="I63" s="6"/>
      <c r="J63" s="45"/>
    </row>
    <row r="64" spans="1:11" ht="19.5" customHeight="1">
      <c r="A64" s="196" t="s">
        <v>14</v>
      </c>
      <c r="B64" s="197"/>
      <c r="C64" s="197"/>
      <c r="D64" s="197"/>
      <c r="E64" s="197"/>
      <c r="F64" s="197"/>
      <c r="G64" s="197"/>
      <c r="H64" s="197"/>
      <c r="I64" s="197"/>
      <c r="J64" s="198"/>
    </row>
    <row r="65" spans="1:10" ht="0.95" customHeight="1">
      <c r="A65" s="196"/>
      <c r="B65" s="197"/>
      <c r="C65" s="197"/>
      <c r="D65" s="197"/>
      <c r="E65" s="197"/>
      <c r="F65" s="197"/>
      <c r="G65" s="197"/>
      <c r="H65" s="197"/>
      <c r="I65" s="197"/>
      <c r="J65" s="198"/>
    </row>
    <row r="66" spans="1:10" ht="15" hidden="1" customHeight="1">
      <c r="A66" s="196"/>
      <c r="B66" s="197"/>
      <c r="C66" s="197"/>
      <c r="D66" s="197"/>
      <c r="E66" s="197"/>
      <c r="F66" s="197"/>
      <c r="G66" s="197"/>
      <c r="H66" s="197"/>
      <c r="I66" s="197"/>
      <c r="J66" s="198"/>
    </row>
    <row r="67" spans="1:10" ht="15.95" customHeight="1">
      <c r="A67" s="46" t="s">
        <v>2982</v>
      </c>
      <c r="B67" s="47"/>
      <c r="C67" s="47"/>
      <c r="D67" s="47"/>
      <c r="E67" s="47"/>
      <c r="F67" s="47"/>
      <c r="G67" s="47"/>
      <c r="H67" s="47"/>
      <c r="I67" s="48"/>
      <c r="J67" s="49"/>
    </row>
    <row r="68" spans="1:10" ht="25.5" customHeight="1">
      <c r="A68" s="183" t="s">
        <v>11</v>
      </c>
      <c r="B68" s="184"/>
      <c r="C68" s="184"/>
      <c r="D68" s="187" t="s">
        <v>12</v>
      </c>
      <c r="E68" s="187"/>
      <c r="F68" s="187"/>
      <c r="G68" s="187"/>
      <c r="H68" s="187"/>
      <c r="I68" s="187"/>
      <c r="J68" s="91"/>
    </row>
    <row r="69" spans="1:10" ht="5.0999999999999996" customHeight="1">
      <c r="A69" s="185"/>
      <c r="B69" s="186"/>
      <c r="C69" s="186"/>
      <c r="D69" s="188"/>
      <c r="E69" s="188"/>
      <c r="F69" s="188"/>
      <c r="G69" s="188"/>
      <c r="H69" s="188"/>
      <c r="I69" s="188"/>
      <c r="J69" s="131"/>
    </row>
    <row r="70" spans="1:10">
      <c r="A70" s="75"/>
      <c r="B70" s="1"/>
      <c r="C70" s="1"/>
      <c r="D70" s="5"/>
      <c r="E70" s="1"/>
      <c r="F70" s="1"/>
      <c r="G70" s="1"/>
      <c r="H70" s="1"/>
      <c r="I70" s="1"/>
      <c r="J70" s="37"/>
    </row>
    <row r="71" spans="1:10">
      <c r="A71" s="128" t="s">
        <v>13</v>
      </c>
      <c r="B71" s="129"/>
      <c r="C71" s="129"/>
      <c r="D71" s="130"/>
      <c r="E71" s="129"/>
      <c r="F71" s="129"/>
      <c r="G71" s="129"/>
      <c r="H71" s="129"/>
      <c r="I71" s="129"/>
      <c r="J71" s="131"/>
    </row>
    <row r="101" spans="11:11">
      <c r="K101" s="98"/>
    </row>
  </sheetData>
  <sheetProtection selectLockedCells="1" selectUnlockedCells="1"/>
  <mergeCells count="57">
    <mergeCell ref="A68:C69"/>
    <mergeCell ref="D68:I69"/>
    <mergeCell ref="A50:H50"/>
    <mergeCell ref="A51:H51"/>
    <mergeCell ref="A52:H52"/>
    <mergeCell ref="A53:H53"/>
    <mergeCell ref="A54:H54"/>
    <mergeCell ref="A55:H55"/>
    <mergeCell ref="A56:H56"/>
    <mergeCell ref="A57:F57"/>
    <mergeCell ref="G57:I57"/>
    <mergeCell ref="A59:J62"/>
    <mergeCell ref="A64:J66"/>
    <mergeCell ref="A10:F10"/>
    <mergeCell ref="A12:H12"/>
    <mergeCell ref="A13:H13"/>
    <mergeCell ref="A14:H14"/>
    <mergeCell ref="A49:H49"/>
    <mergeCell ref="A40:H40"/>
    <mergeCell ref="A41:H41"/>
    <mergeCell ref="A42:H42"/>
    <mergeCell ref="A43:H43"/>
    <mergeCell ref="A44:H44"/>
    <mergeCell ref="A45:H45"/>
    <mergeCell ref="A46:H46"/>
    <mergeCell ref="A47:H47"/>
    <mergeCell ref="A48:H48"/>
    <mergeCell ref="A15:H15"/>
    <mergeCell ref="A16:H16"/>
    <mergeCell ref="I7:J7"/>
    <mergeCell ref="H8:I8"/>
    <mergeCell ref="H1:J1"/>
    <mergeCell ref="B8:F8"/>
    <mergeCell ref="A9:F9"/>
    <mergeCell ref="A17:H17"/>
    <mergeCell ref="A18:H18"/>
    <mergeCell ref="A19:H19"/>
    <mergeCell ref="A20:H20"/>
    <mergeCell ref="A21:H21"/>
    <mergeCell ref="A22:H22"/>
    <mergeCell ref="A23:H23"/>
    <mergeCell ref="A24:H24"/>
    <mergeCell ref="A25:H25"/>
    <mergeCell ref="A26:H26"/>
    <mergeCell ref="A27:H27"/>
    <mergeCell ref="A28:H28"/>
    <mergeCell ref="A29:H29"/>
    <mergeCell ref="A30:H30"/>
    <mergeCell ref="A31:H31"/>
    <mergeCell ref="A37:H37"/>
    <mergeCell ref="A38:H38"/>
    <mergeCell ref="A39:H39"/>
    <mergeCell ref="A32:H32"/>
    <mergeCell ref="A33:H33"/>
    <mergeCell ref="A34:H34"/>
    <mergeCell ref="A35:H35"/>
    <mergeCell ref="A36:H36"/>
  </mergeCells>
  <printOptions horizontalCentered="1" verticalCentered="1"/>
  <pageMargins left="1.1715625000000001" right="0.25" top="0.90229166666666671" bottom="0.75" header="0.3" footer="0.3"/>
  <pageSetup scale="69" orientation="portrait" copies="2" r:id="rId1"/>
  <ignoredErrors>
    <ignoredError sqref="J6" unlocked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72CFB-2615-449D-8A34-60DB23655BA6}">
  <sheetPr codeName="Sheet6"/>
  <dimension ref="A1:W35"/>
  <sheetViews>
    <sheetView zoomScale="89" zoomScaleNormal="89" workbookViewId="0">
      <selection activeCell="B8" sqref="B8:G8"/>
    </sheetView>
  </sheetViews>
  <sheetFormatPr defaultRowHeight="15"/>
  <cols>
    <col min="1" max="1" width="34.140625" bestFit="1" customWidth="1"/>
    <col min="9" max="9" width="37.42578125" customWidth="1"/>
    <col min="10" max="10" width="11" customWidth="1"/>
    <col min="11" max="12" width="15.140625" bestFit="1" customWidth="1"/>
    <col min="13" max="13" width="11.85546875" bestFit="1" customWidth="1"/>
    <col min="14" max="14" width="16.28515625" bestFit="1" customWidth="1"/>
    <col min="15" max="15" width="11.42578125" customWidth="1"/>
    <col min="16" max="16" width="12.42578125" bestFit="1" customWidth="1"/>
    <col min="17" max="17" width="12.42578125" customWidth="1"/>
    <col min="19" max="19" width="37.42578125" customWidth="1"/>
    <col min="20" max="20" width="15.140625" bestFit="1" customWidth="1"/>
    <col min="21" max="21" width="17.7109375" bestFit="1" customWidth="1"/>
    <col min="22" max="22" width="20.42578125" bestFit="1" customWidth="1"/>
  </cols>
  <sheetData>
    <row r="1" spans="1:23" ht="15" customHeight="1">
      <c r="A1" s="206" t="s">
        <v>3040</v>
      </c>
      <c r="B1" s="206"/>
      <c r="C1" s="206"/>
      <c r="D1" s="206"/>
      <c r="E1" s="206"/>
      <c r="F1" s="206"/>
      <c r="G1" s="206"/>
      <c r="H1" s="105"/>
      <c r="I1" s="204" t="s">
        <v>2924</v>
      </c>
      <c r="J1" s="204"/>
      <c r="K1" s="204"/>
      <c r="L1" s="204"/>
      <c r="M1" s="204"/>
      <c r="N1" s="204"/>
      <c r="O1" s="204"/>
      <c r="P1" s="204"/>
      <c r="Q1" s="204"/>
      <c r="R1" s="22"/>
      <c r="S1" s="204" t="s">
        <v>2974</v>
      </c>
      <c r="T1" s="204"/>
      <c r="U1" s="204"/>
      <c r="V1" s="204"/>
      <c r="W1" s="22"/>
    </row>
    <row r="2" spans="1:23" ht="15" customHeight="1">
      <c r="A2" s="206"/>
      <c r="B2" s="206"/>
      <c r="C2" s="206"/>
      <c r="D2" s="206"/>
      <c r="E2" s="206"/>
      <c r="F2" s="206"/>
      <c r="G2" s="206"/>
      <c r="H2" s="105"/>
      <c r="I2" s="204"/>
      <c r="J2" s="204"/>
      <c r="K2" s="204"/>
      <c r="L2" s="204"/>
      <c r="M2" s="204"/>
      <c r="N2" s="204"/>
      <c r="O2" s="204"/>
      <c r="P2" s="204"/>
      <c r="Q2" s="204"/>
      <c r="R2" s="22"/>
      <c r="S2" s="204"/>
      <c r="T2" s="204"/>
      <c r="U2" s="204"/>
      <c r="V2" s="204"/>
      <c r="W2" s="22"/>
    </row>
    <row r="3" spans="1:23">
      <c r="A3" s="205" t="s">
        <v>3030</v>
      </c>
      <c r="B3" s="205"/>
      <c r="C3" s="205"/>
      <c r="D3" s="205"/>
      <c r="E3" s="205"/>
      <c r="F3" s="205"/>
      <c r="G3" s="205"/>
      <c r="H3" s="22"/>
      <c r="I3" t="s">
        <v>2925</v>
      </c>
      <c r="J3" t="s">
        <v>2929</v>
      </c>
      <c r="K3" s="9" t="s">
        <v>2937</v>
      </c>
      <c r="L3" t="s">
        <v>2931</v>
      </c>
      <c r="M3" t="s">
        <v>2927</v>
      </c>
      <c r="N3" s="9" t="s">
        <v>2930</v>
      </c>
      <c r="O3" t="s">
        <v>2928</v>
      </c>
      <c r="P3" s="9" t="s">
        <v>2932</v>
      </c>
      <c r="Q3" s="9" t="s">
        <v>3002</v>
      </c>
      <c r="R3" s="22"/>
      <c r="S3" t="s">
        <v>2925</v>
      </c>
      <c r="T3" s="9" t="s">
        <v>2975</v>
      </c>
      <c r="U3" t="s">
        <v>2929</v>
      </c>
      <c r="V3" t="s">
        <v>3024</v>
      </c>
      <c r="W3" s="22"/>
    </row>
    <row r="4" spans="1:23">
      <c r="A4" t="s">
        <v>3025</v>
      </c>
      <c r="B4" s="199" t="str">
        <f>'RC Checklist'!G2</f>
        <v>*Client Name</v>
      </c>
      <c r="C4" s="199"/>
      <c r="D4" s="199"/>
      <c r="E4" s="199"/>
      <c r="F4" s="199"/>
      <c r="G4" s="199"/>
      <c r="H4" s="106"/>
      <c r="I4" s="10" t="str">
        <f>TRIM('RC Checklist'!H8)</f>
        <v/>
      </c>
      <c r="J4" s="10">
        <f>'RC Checklist'!J8</f>
        <v>1</v>
      </c>
      <c r="K4" s="12">
        <f>IFERROR(VLOOKUP(I4, FixedItem[],2,FALSE),0)</f>
        <v>0</v>
      </c>
      <c r="L4" s="12">
        <f t="shared" ref="L4:L32" si="0">K4*J4</f>
        <v>0</v>
      </c>
      <c r="M4" s="10">
        <f>IFERROR(VLOOKUP(I4,FixedItem[],4,FALSE),0)</f>
        <v>0</v>
      </c>
      <c r="N4" s="12">
        <f>IFERROR(M4*VLOOKUP(I4, FixedItem[],5,FALSE)*UserTable15[[#This Row],[Quantity]],0)</f>
        <v>0</v>
      </c>
      <c r="O4" s="10">
        <f>IFERROR(VLOOKUP(I4, FixedItem[],3,FALSE)*UserTable15[[#This Row],[Quantity]],0)</f>
        <v>0</v>
      </c>
      <c r="P4" s="12">
        <f>UserTable15[[#This Row],[Labor]]*$B$6</f>
        <v>0</v>
      </c>
      <c r="Q4" s="12">
        <f>SUM(P4,N4,L4)</f>
        <v>0</v>
      </c>
      <c r="R4" s="22"/>
      <c r="S4" s="10" t="str">
        <f>TRIM('Driving Code'!P6)</f>
        <v/>
      </c>
      <c r="T4" s="12">
        <f>'RC Checklist'!K48</f>
        <v>0</v>
      </c>
      <c r="U4" s="10">
        <f>'RC Checklist'!J48</f>
        <v>1</v>
      </c>
      <c r="V4" s="12">
        <f>VariableCost18[[#This Row],[Quantity]]*VariableCost18[[#This Row],[Cost of Item]]</f>
        <v>0</v>
      </c>
      <c r="W4" s="22"/>
    </row>
    <row r="5" spans="1:23">
      <c r="A5" t="s">
        <v>3039</v>
      </c>
      <c r="B5" s="209">
        <f>'RC Checklist'!G3</f>
        <v>0.1</v>
      </c>
      <c r="C5" s="209"/>
      <c r="D5" s="209"/>
      <c r="E5" s="209"/>
      <c r="F5" s="209"/>
      <c r="G5" s="209"/>
      <c r="H5" s="106"/>
      <c r="I5" s="10" t="str">
        <f>TRIM('RC Checklist'!H9)</f>
        <v/>
      </c>
      <c r="J5" s="10">
        <f>'RC Checklist'!J9</f>
        <v>1</v>
      </c>
      <c r="K5" s="12">
        <f>IFERROR(VLOOKUP(I5, FixedItem[],2,FALSE),0)</f>
        <v>0</v>
      </c>
      <c r="L5" s="12">
        <f t="shared" si="0"/>
        <v>0</v>
      </c>
      <c r="M5" s="10">
        <f>IFERROR(VLOOKUP(I5,FixedItem[],4,FALSE),0)</f>
        <v>0</v>
      </c>
      <c r="N5" s="12">
        <f>IFERROR(M5*VLOOKUP(I5, FixedItem[],5,FALSE)*UserTable15[[#This Row],[Quantity]],0)</f>
        <v>0</v>
      </c>
      <c r="O5" s="10">
        <f>IFERROR(VLOOKUP(I5, FixedItem[],3,FALSE)*UserTable15[[#This Row],[Quantity]],0)</f>
        <v>0</v>
      </c>
      <c r="P5" s="12">
        <f>UserTable15[[#This Row],[Labor]]*$B$6</f>
        <v>0</v>
      </c>
      <c r="Q5" s="12">
        <f t="shared" ref="Q5:Q33" si="1">SUM(P5,N5,L5)</f>
        <v>0</v>
      </c>
      <c r="R5" s="22"/>
      <c r="S5" s="10" t="str">
        <f>TRIM('Driving Code'!P7)</f>
        <v/>
      </c>
      <c r="T5" s="12">
        <f>'RC Checklist'!K49</f>
        <v>0</v>
      </c>
      <c r="U5" s="10">
        <f>'RC Checklist'!J49</f>
        <v>1</v>
      </c>
      <c r="V5" s="12">
        <f>VariableCost18[[#This Row],[Quantity]]*VariableCost18[[#This Row],[Cost of Item]]</f>
        <v>0</v>
      </c>
      <c r="W5" s="22"/>
    </row>
    <row r="6" spans="1:23">
      <c r="A6" t="s">
        <v>3038</v>
      </c>
      <c r="B6" s="207">
        <f>'RC Checklist'!G4</f>
        <v>75</v>
      </c>
      <c r="C6" s="207"/>
      <c r="D6" s="207"/>
      <c r="E6" s="207"/>
      <c r="F6" s="207"/>
      <c r="G6" s="207"/>
      <c r="H6" s="106"/>
      <c r="I6" s="10" t="str">
        <f>TRIM('RC Checklist'!H10)</f>
        <v/>
      </c>
      <c r="J6" s="10">
        <f>'RC Checklist'!J10</f>
        <v>1</v>
      </c>
      <c r="K6" s="12">
        <f>IFERROR(VLOOKUP(I6, FixedItem[],2,FALSE),0)</f>
        <v>0</v>
      </c>
      <c r="L6" s="12">
        <f t="shared" si="0"/>
        <v>0</v>
      </c>
      <c r="M6" s="10">
        <f>IFERROR(VLOOKUP(I6,FixedItem[],4,FALSE),0)</f>
        <v>0</v>
      </c>
      <c r="N6" s="12">
        <f>IFERROR(M6*VLOOKUP(I6, FixedItem[],5,FALSE)*UserTable15[[#This Row],[Quantity]],0)</f>
        <v>0</v>
      </c>
      <c r="O6" s="10">
        <f>IFERROR(VLOOKUP(I6, FixedItem[],3,FALSE)*UserTable15[[#This Row],[Quantity]],0)</f>
        <v>0</v>
      </c>
      <c r="P6" s="12">
        <f>UserTable15[[#This Row],[Labor]]*$B$6</f>
        <v>0</v>
      </c>
      <c r="Q6" s="12">
        <f t="shared" si="1"/>
        <v>0</v>
      </c>
      <c r="R6" s="22"/>
      <c r="S6" s="10" t="str">
        <f>TRIM('Driving Code'!P8)</f>
        <v/>
      </c>
      <c r="T6" s="12">
        <f>'RC Checklist'!K50</f>
        <v>0</v>
      </c>
      <c r="U6" s="10">
        <f>'RC Checklist'!J50</f>
        <v>1</v>
      </c>
      <c r="V6" s="12">
        <f>VariableCost18[[#This Row],[Quantity]]*VariableCost18[[#This Row],[Cost of Item]]</f>
        <v>0</v>
      </c>
      <c r="W6" s="22"/>
    </row>
    <row r="7" spans="1:23">
      <c r="A7" t="s">
        <v>3036</v>
      </c>
      <c r="B7" s="199" t="str">
        <f>_xlfn.CONCAT(VLOOKUP(B4,ClientInfo[],9,FALSE))</f>
        <v/>
      </c>
      <c r="C7" s="199"/>
      <c r="D7" s="199"/>
      <c r="E7" s="199"/>
      <c r="F7" s="199"/>
      <c r="G7" s="199"/>
      <c r="H7" s="106"/>
      <c r="I7" s="10" t="str">
        <f>TRIM('RC Checklist'!H11)</f>
        <v/>
      </c>
      <c r="J7" s="10">
        <f>'RC Checklist'!J11</f>
        <v>1</v>
      </c>
      <c r="K7" s="12">
        <f>IFERROR(VLOOKUP(I7, FixedItem[],2,FALSE),0)</f>
        <v>0</v>
      </c>
      <c r="L7" s="12">
        <f t="shared" si="0"/>
        <v>0</v>
      </c>
      <c r="M7" s="10">
        <f>IFERROR(VLOOKUP(I7,FixedItem[],4,FALSE),0)</f>
        <v>0</v>
      </c>
      <c r="N7" s="12">
        <f>IFERROR(M7*VLOOKUP(I7, FixedItem[],5,FALSE)*UserTable15[[#This Row],[Quantity]],0)</f>
        <v>0</v>
      </c>
      <c r="O7" s="10">
        <f>IFERROR(VLOOKUP(I7, FixedItem[],3,FALSE)*UserTable15[[#This Row],[Quantity]],0)</f>
        <v>0</v>
      </c>
      <c r="P7" s="12">
        <f>UserTable15[[#This Row],[Labor]]*$B$6</f>
        <v>0</v>
      </c>
      <c r="Q7" s="12">
        <f t="shared" si="1"/>
        <v>0</v>
      </c>
      <c r="R7" s="22"/>
      <c r="S7" s="10" t="str">
        <f>TRIM('Driving Code'!P9)</f>
        <v/>
      </c>
      <c r="T7" s="12">
        <f>'RC Checklist'!K51</f>
        <v>0</v>
      </c>
      <c r="U7" s="10">
        <f>'RC Checklist'!J51</f>
        <v>1</v>
      </c>
      <c r="V7" s="12">
        <f>VariableCost18[[#This Row],[Quantity]]*VariableCost18[[#This Row],[Cost of Item]]</f>
        <v>0</v>
      </c>
      <c r="W7" s="22"/>
    </row>
    <row r="8" spans="1:23">
      <c r="B8" s="199" t="str">
        <f>_xlfn.CONCAT(VLOOKUP(B4,ClientInfo[],10,FALSE),", ",VLOOKUP(B4,ClientInfo[],11,FALSE)," ", VLOOKUP(B4,ClientInfo[],12,FALSE))</f>
        <v xml:space="preserve">,  </v>
      </c>
      <c r="C8" s="199"/>
      <c r="D8" s="199"/>
      <c r="E8" s="199"/>
      <c r="F8" s="199"/>
      <c r="G8" s="199"/>
      <c r="H8" s="106"/>
      <c r="I8" s="10" t="str">
        <f>TRIM('RC Checklist'!H12)</f>
        <v>Add for lazy susan</v>
      </c>
      <c r="J8" s="10">
        <f>'RC Checklist'!J12</f>
        <v>1</v>
      </c>
      <c r="K8" s="12">
        <f>IFERROR(VLOOKUP(I8, FixedItem[],2,FALSE),0)</f>
        <v>71.099999999999994</v>
      </c>
      <c r="L8" s="12">
        <f t="shared" si="0"/>
        <v>71.099999999999994</v>
      </c>
      <c r="M8" s="10">
        <f>IFERROR(VLOOKUP(I8,FixedItem[],4,FALSE),0)</f>
        <v>0</v>
      </c>
      <c r="N8" s="12">
        <f>IFERROR(M8*VLOOKUP(I8, FixedItem[],5,FALSE)*UserTable15[[#This Row],[Quantity]],0)</f>
        <v>0</v>
      </c>
      <c r="O8" s="10">
        <f>IFERROR(VLOOKUP(I8, FixedItem[],3,FALSE)*UserTable15[[#This Row],[Quantity]],0)</f>
        <v>0</v>
      </c>
      <c r="P8" s="12">
        <f>UserTable15[[#This Row],[Labor]]*$B$6</f>
        <v>0</v>
      </c>
      <c r="Q8" s="12">
        <f t="shared" si="1"/>
        <v>71.099999999999994</v>
      </c>
      <c r="R8" s="22"/>
      <c r="S8" s="10" t="str">
        <f>TRIM('Driving Code'!P10)</f>
        <v/>
      </c>
      <c r="T8" s="12">
        <f>'RC Checklist'!K52</f>
        <v>0</v>
      </c>
      <c r="U8" s="10">
        <f>'RC Checklist'!J52</f>
        <v>1</v>
      </c>
      <c r="V8" s="12">
        <f>VariableCost18[[#This Row],[Quantity]]*VariableCost18[[#This Row],[Cost of Item]]</f>
        <v>0</v>
      </c>
      <c r="W8" s="22"/>
    </row>
    <row r="9" spans="1:23">
      <c r="A9" t="s">
        <v>3026</v>
      </c>
      <c r="B9" s="199">
        <f>VLOOKUP(B4,ClientInfo[],6,FALSE)</f>
        <v>4438765309</v>
      </c>
      <c r="C9" s="199"/>
      <c r="D9" s="199"/>
      <c r="E9" s="199"/>
      <c r="F9" s="199"/>
      <c r="G9" s="199"/>
      <c r="H9" s="106"/>
      <c r="I9" s="10" t="str">
        <f>TRIM('RC Checklist'!H13)</f>
        <v/>
      </c>
      <c r="J9" s="10">
        <f>'RC Checklist'!J13</f>
        <v>1</v>
      </c>
      <c r="K9" s="12">
        <f>IFERROR(VLOOKUP(I9, FixedItem[],2,FALSE),0)</f>
        <v>0</v>
      </c>
      <c r="L9" s="12">
        <f t="shared" si="0"/>
        <v>0</v>
      </c>
      <c r="M9" s="10">
        <f>IFERROR(VLOOKUP(I9,FixedItem[],4,FALSE),0)</f>
        <v>0</v>
      </c>
      <c r="N9" s="12">
        <f>IFERROR(M9*VLOOKUP(I9, FixedItem[],5,FALSE)*UserTable15[[#This Row],[Quantity]],0)</f>
        <v>0</v>
      </c>
      <c r="O9" s="10">
        <f>IFERROR(VLOOKUP(I9, FixedItem[],3,FALSE)*UserTable15[[#This Row],[Quantity]],0)</f>
        <v>0</v>
      </c>
      <c r="P9" s="12">
        <f>UserTable15[[#This Row],[Labor]]*$B$6</f>
        <v>0</v>
      </c>
      <c r="Q9" s="12">
        <f t="shared" si="1"/>
        <v>0</v>
      </c>
      <c r="R9" s="22"/>
      <c r="S9" s="10" t="str">
        <f>TRIM('Driving Code'!P11)</f>
        <v/>
      </c>
      <c r="T9" s="12">
        <f>'RC Checklist'!K53</f>
        <v>0</v>
      </c>
      <c r="U9" s="10">
        <f>'RC Checklist'!J53</f>
        <v>1</v>
      </c>
      <c r="V9" s="12">
        <f>VariableCost18[[#This Row],[Quantity]]*VariableCost18[[#This Row],[Cost of Item]]</f>
        <v>0</v>
      </c>
      <c r="W9" s="22"/>
    </row>
    <row r="10" spans="1:23">
      <c r="A10" t="s">
        <v>3027</v>
      </c>
      <c r="B10" s="199">
        <f>VLOOKUP(B4,ClientInfo[],7,FALSE)</f>
        <v>4108765309</v>
      </c>
      <c r="C10" s="199"/>
      <c r="D10" s="199"/>
      <c r="E10" s="199"/>
      <c r="F10" s="199"/>
      <c r="G10" s="199"/>
      <c r="H10" s="106"/>
      <c r="I10" s="10" t="str">
        <f>TRIM('RC Checklist'!H14)</f>
        <v/>
      </c>
      <c r="J10" s="10">
        <f>'RC Checklist'!J14</f>
        <v>1</v>
      </c>
      <c r="K10" s="12">
        <f>IFERROR(VLOOKUP(I10, FixedItem[],2,FALSE),0)</f>
        <v>0</v>
      </c>
      <c r="L10" s="12">
        <f t="shared" si="0"/>
        <v>0</v>
      </c>
      <c r="M10" s="10">
        <f>IFERROR(VLOOKUP(I10,FixedItem[],4,FALSE),0)</f>
        <v>0</v>
      </c>
      <c r="N10" s="12">
        <f>IFERROR(M10*VLOOKUP(I10, FixedItem[],5,FALSE)*UserTable15[[#This Row],[Quantity]],0)</f>
        <v>0</v>
      </c>
      <c r="O10" s="10">
        <f>IFERROR(VLOOKUP(I10, FixedItem[],3,FALSE)*UserTable15[[#This Row],[Quantity]],0)</f>
        <v>0</v>
      </c>
      <c r="P10" s="12">
        <f>UserTable15[[#This Row],[Labor]]*$B$6</f>
        <v>0</v>
      </c>
      <c r="Q10" s="12">
        <f t="shared" si="1"/>
        <v>0</v>
      </c>
      <c r="R10" s="22"/>
      <c r="S10" s="10" t="str">
        <f>TRIM('Driving Code'!P12)</f>
        <v/>
      </c>
      <c r="T10" s="12">
        <f>'RC Checklist'!K54</f>
        <v>0</v>
      </c>
      <c r="U10" s="10">
        <f>'RC Checklist'!J54</f>
        <v>1</v>
      </c>
      <c r="V10" s="12">
        <f>VariableCost18[[#This Row],[Quantity]]*VariableCost18[[#This Row],[Cost of Item]]</f>
        <v>0</v>
      </c>
      <c r="W10" s="22"/>
    </row>
    <row r="11" spans="1:23">
      <c r="A11" t="s">
        <v>3029</v>
      </c>
      <c r="B11" s="199" t="str">
        <f>VLOOKUP(B4,ClientInfo[],8,FALSE)</f>
        <v>db@dabomb.com</v>
      </c>
      <c r="C11" s="199"/>
      <c r="D11" s="199"/>
      <c r="E11" s="199"/>
      <c r="F11" s="199"/>
      <c r="G11" s="199"/>
      <c r="H11" s="106"/>
      <c r="I11" s="10" t="str">
        <f>TRIM('RC Checklist'!H15)</f>
        <v/>
      </c>
      <c r="J11" s="10">
        <f>'RC Checklist'!J15</f>
        <v>1</v>
      </c>
      <c r="K11" s="12">
        <f>IFERROR(VLOOKUP(I11, FixedItem[],2,FALSE),0)</f>
        <v>0</v>
      </c>
      <c r="L11" s="12">
        <f t="shared" si="0"/>
        <v>0</v>
      </c>
      <c r="M11" s="10">
        <f>IFERROR(VLOOKUP(I11,FixedItem[],4,FALSE),0)</f>
        <v>0</v>
      </c>
      <c r="N11" s="12">
        <f>IFERROR(M11*VLOOKUP(I11, FixedItem[],5,FALSE)*UserTable15[[#This Row],[Quantity]],0)</f>
        <v>0</v>
      </c>
      <c r="O11" s="10">
        <f>IFERROR(VLOOKUP(I11, FixedItem[],3,FALSE)*UserTable15[[#This Row],[Quantity]],0)</f>
        <v>0</v>
      </c>
      <c r="P11" s="12">
        <f>UserTable15[[#This Row],[Labor]]*$B$6</f>
        <v>0</v>
      </c>
      <c r="Q11" s="12">
        <f t="shared" si="1"/>
        <v>0</v>
      </c>
      <c r="R11" s="22"/>
      <c r="S11" s="10" t="str">
        <f>TRIM('Driving Code'!P13)</f>
        <v/>
      </c>
      <c r="T11" s="12">
        <f>'RC Checklist'!K55</f>
        <v>0</v>
      </c>
      <c r="U11" s="10">
        <f>'RC Checklist'!J55</f>
        <v>1</v>
      </c>
      <c r="V11" s="12">
        <f>VariableCost18[[#This Row],[Quantity]]*VariableCost18[[#This Row],[Cost of Item]]</f>
        <v>0</v>
      </c>
      <c r="W11" s="22"/>
    </row>
    <row r="12" spans="1:23">
      <c r="A12" t="s">
        <v>3028</v>
      </c>
      <c r="B12" s="199">
        <f>'RC Checklist'!G5</f>
        <v>0</v>
      </c>
      <c r="C12" s="199"/>
      <c r="D12" s="199"/>
      <c r="E12" s="199"/>
      <c r="F12" s="199"/>
      <c r="G12" s="199"/>
      <c r="H12" s="106"/>
      <c r="I12" s="10" t="str">
        <f>TRIM('RC Checklist'!H16)</f>
        <v/>
      </c>
      <c r="J12" s="10">
        <f>'RC Checklist'!J16</f>
        <v>1</v>
      </c>
      <c r="K12" s="12">
        <f>IFERROR(VLOOKUP(I12, FixedItem[],2,FALSE),0)</f>
        <v>0</v>
      </c>
      <c r="L12" s="12">
        <f t="shared" si="0"/>
        <v>0</v>
      </c>
      <c r="M12" s="10">
        <f>IFERROR(VLOOKUP(I12,FixedItem[],4,FALSE),0)</f>
        <v>0</v>
      </c>
      <c r="N12" s="12">
        <f>IFERROR(M12*VLOOKUP(I12, FixedItem[],5,FALSE)*UserTable15[[#This Row],[Quantity]],0)</f>
        <v>0</v>
      </c>
      <c r="O12" s="10">
        <f>IFERROR(VLOOKUP(I12, FixedItem[],3,FALSE)*UserTable15[[#This Row],[Quantity]],0)</f>
        <v>0</v>
      </c>
      <c r="P12" s="12">
        <f>UserTable15[[#This Row],[Labor]]*$B$6</f>
        <v>0</v>
      </c>
      <c r="Q12" s="12">
        <f t="shared" si="1"/>
        <v>0</v>
      </c>
      <c r="R12" s="22"/>
      <c r="S12" s="10" t="str">
        <f>TRIM('Driving Code'!P14)</f>
        <v/>
      </c>
      <c r="T12" s="12">
        <f>'RC Checklist'!K56</f>
        <v>0</v>
      </c>
      <c r="U12" s="10">
        <f>'RC Checklist'!J56</f>
        <v>1</v>
      </c>
      <c r="V12" s="12">
        <f>VariableCost18[[#This Row],[Quantity]]*VariableCost18[[#This Row],[Cost of Item]]</f>
        <v>0</v>
      </c>
      <c r="W12" s="22"/>
    </row>
    <row r="13" spans="1:23">
      <c r="A13" t="s">
        <v>2971</v>
      </c>
      <c r="B13" s="199"/>
      <c r="C13" s="199"/>
      <c r="D13" s="199"/>
      <c r="E13" s="199"/>
      <c r="F13" s="199"/>
      <c r="G13" s="199"/>
      <c r="H13" s="106"/>
      <c r="I13" s="10" t="str">
        <f>TRIM('RC Checklist'!H17)</f>
        <v/>
      </c>
      <c r="J13" s="10">
        <f>'RC Checklist'!J17</f>
        <v>1</v>
      </c>
      <c r="K13" s="12">
        <f>IFERROR(VLOOKUP(I13, FixedItem[],2,FALSE),0)</f>
        <v>0</v>
      </c>
      <c r="L13" s="12">
        <f t="shared" si="0"/>
        <v>0</v>
      </c>
      <c r="M13" s="10">
        <f>IFERROR(VLOOKUP(I13,FixedItem[],4,FALSE),0)</f>
        <v>0</v>
      </c>
      <c r="N13" s="12">
        <f>IFERROR(M13*VLOOKUP(I13, FixedItem[],5,FALSE)*UserTable15[[#This Row],[Quantity]],0)</f>
        <v>0</v>
      </c>
      <c r="O13" s="10">
        <f>IFERROR(VLOOKUP(I13, FixedItem[],3,FALSE)*UserTable15[[#This Row],[Quantity]],0)</f>
        <v>0</v>
      </c>
      <c r="P13" s="12">
        <f>UserTable15[[#This Row],[Labor]]*$B$6</f>
        <v>0</v>
      </c>
      <c r="Q13" s="12">
        <f t="shared" si="1"/>
        <v>0</v>
      </c>
      <c r="R13" s="22"/>
      <c r="S13" s="10" t="str">
        <f>TRIM('Driving Code'!P15)</f>
        <v/>
      </c>
      <c r="T13" s="12">
        <f>'RC Checklist'!K57</f>
        <v>0</v>
      </c>
      <c r="U13" s="10">
        <f>'RC Checklist'!J57</f>
        <v>1</v>
      </c>
      <c r="V13" s="12">
        <f>VariableCost18[[#This Row],[Quantity]]*VariableCost18[[#This Row],[Cost of Item]]</f>
        <v>0</v>
      </c>
      <c r="W13" s="22"/>
    </row>
    <row r="14" spans="1:23">
      <c r="A14" t="s">
        <v>3142</v>
      </c>
      <c r="B14" s="208">
        <f>'RC Checklist'!K4</f>
        <v>0.06</v>
      </c>
      <c r="C14" s="208"/>
      <c r="D14" s="208"/>
      <c r="E14" s="208"/>
      <c r="F14" s="208"/>
      <c r="G14" s="208"/>
      <c r="H14" s="106"/>
      <c r="I14" s="10" t="str">
        <f>TRIM('RC Checklist'!H18)</f>
        <v/>
      </c>
      <c r="J14" s="10">
        <f>'RC Checklist'!J18</f>
        <v>1</v>
      </c>
      <c r="K14" s="12">
        <f>IFERROR(VLOOKUP(I14, FixedItem[],2,FALSE),0)</f>
        <v>0</v>
      </c>
      <c r="L14" s="12">
        <f t="shared" si="0"/>
        <v>0</v>
      </c>
      <c r="M14" s="10">
        <f>IFERROR(VLOOKUP(I14,FixedItem[],4,FALSE),0)</f>
        <v>0</v>
      </c>
      <c r="N14" s="12">
        <f>IFERROR(M14*VLOOKUP(I14, FixedItem[],5,FALSE)*UserTable15[[#This Row],[Quantity]],0)</f>
        <v>0</v>
      </c>
      <c r="O14" s="10">
        <f>IFERROR(VLOOKUP(I14, FixedItem[],3,FALSE)*UserTable15[[#This Row],[Quantity]],0)</f>
        <v>0</v>
      </c>
      <c r="P14" s="12">
        <f>UserTable15[[#This Row],[Labor]]*$B$6</f>
        <v>0</v>
      </c>
      <c r="Q14" s="12">
        <f t="shared" si="1"/>
        <v>0</v>
      </c>
      <c r="R14" s="22"/>
      <c r="S14" s="10" t="str">
        <f>TRIM('Driving Code'!P16)</f>
        <v/>
      </c>
      <c r="T14" s="12">
        <f>'RC Checklist'!K58</f>
        <v>0</v>
      </c>
      <c r="U14" s="10">
        <f>'RC Checklist'!J58</f>
        <v>1</v>
      </c>
      <c r="V14" s="12">
        <f>VariableCost18[[#This Row],[Quantity]]*VariableCost18[[#This Row],[Cost of Item]]</f>
        <v>0</v>
      </c>
      <c r="W14" s="22"/>
    </row>
    <row r="15" spans="1:23">
      <c r="A15" s="205" t="s">
        <v>3031</v>
      </c>
      <c r="B15" s="205"/>
      <c r="C15" s="205"/>
      <c r="D15" s="205"/>
      <c r="E15" s="205"/>
      <c r="F15" s="205"/>
      <c r="G15" s="205"/>
      <c r="H15" s="22"/>
      <c r="I15" s="10" t="str">
        <f>TRIM('RC Checklist'!H19)</f>
        <v/>
      </c>
      <c r="J15" s="10">
        <f>'RC Checklist'!J19</f>
        <v>1</v>
      </c>
      <c r="K15" s="12">
        <f>IFERROR(VLOOKUP(I15, FixedItem[],2,FALSE),0)</f>
        <v>0</v>
      </c>
      <c r="L15" s="12">
        <f t="shared" si="0"/>
        <v>0</v>
      </c>
      <c r="M15" s="10">
        <f>IFERROR(VLOOKUP(I15,FixedItem[],4,FALSE),0)</f>
        <v>0</v>
      </c>
      <c r="N15" s="12">
        <f>IFERROR(M15*VLOOKUP(I15, FixedItem[],5,FALSE)*UserTable15[[#This Row],[Quantity]],0)</f>
        <v>0</v>
      </c>
      <c r="O15" s="10">
        <f>IFERROR(VLOOKUP(I15, FixedItem[],3,FALSE)*UserTable15[[#This Row],[Quantity]],0)</f>
        <v>0</v>
      </c>
      <c r="P15" s="12">
        <f>UserTable15[[#This Row],[Labor]]*$B$6</f>
        <v>0</v>
      </c>
      <c r="Q15" s="12">
        <f t="shared" si="1"/>
        <v>0</v>
      </c>
      <c r="R15" s="22"/>
      <c r="S15" s="10" t="str">
        <f>TRIM('Driving Code'!P17)</f>
        <v/>
      </c>
      <c r="T15" s="12">
        <f>'RC Checklist'!K59</f>
        <v>0</v>
      </c>
      <c r="U15" s="10">
        <f>'RC Checklist'!J59</f>
        <v>1</v>
      </c>
      <c r="V15" s="12">
        <f>VariableCost18[[#This Row],[Quantity]]*VariableCost18[[#This Row],[Cost of Item]]</f>
        <v>0</v>
      </c>
      <c r="W15" s="22"/>
    </row>
    <row r="16" spans="1:23">
      <c r="A16" t="s">
        <v>3140</v>
      </c>
      <c r="B16" s="200">
        <f>'Driving Code'!C2</f>
        <v>100</v>
      </c>
      <c r="C16" s="200"/>
      <c r="D16" s="200"/>
      <c r="E16" s="200"/>
      <c r="F16" s="200"/>
      <c r="G16" s="200"/>
      <c r="H16" s="22"/>
      <c r="I16" s="10" t="str">
        <f>TRIM('RC Checklist'!H20)</f>
        <v/>
      </c>
      <c r="J16" s="10">
        <f>'RC Checklist'!J20</f>
        <v>1</v>
      </c>
      <c r="K16" s="12">
        <f>IFERROR(VLOOKUP(I16, FixedItem[],2,FALSE),0)</f>
        <v>0</v>
      </c>
      <c r="L16" s="12">
        <f t="shared" si="0"/>
        <v>0</v>
      </c>
      <c r="M16" s="10">
        <f>IFERROR(VLOOKUP(I16,FixedItem[],4,FALSE),0)</f>
        <v>0</v>
      </c>
      <c r="N16" s="12">
        <f>IFERROR(M16*VLOOKUP(I16, FixedItem[],5,FALSE)*UserTable15[[#This Row],[Quantity]],0)</f>
        <v>0</v>
      </c>
      <c r="O16" s="10">
        <f>IFERROR(VLOOKUP(I16, FixedItem[],3,FALSE)*UserTable15[[#This Row],[Quantity]],0)</f>
        <v>0</v>
      </c>
      <c r="P16" s="12">
        <f>UserTable15[[#This Row],[Labor]]*$B$6</f>
        <v>0</v>
      </c>
      <c r="Q16" s="12">
        <f t="shared" si="1"/>
        <v>0</v>
      </c>
      <c r="R16" s="22"/>
      <c r="S16" s="10" t="str">
        <f>TRIM('Driving Code'!P18)</f>
        <v/>
      </c>
      <c r="T16" s="12">
        <f>'RC Checklist'!K60</f>
        <v>0</v>
      </c>
      <c r="U16" s="10">
        <f>'RC Checklist'!J60</f>
        <v>1</v>
      </c>
      <c r="V16" s="12">
        <f>VariableCost18[[#This Row],[Quantity]]*VariableCost18[[#This Row],[Cost of Item]]</f>
        <v>0</v>
      </c>
      <c r="W16" s="22"/>
    </row>
    <row r="17" spans="1:23">
      <c r="A17" t="s">
        <v>3141</v>
      </c>
      <c r="B17" s="200">
        <f>SUM('Driving Code'!F2+'Driving Code'!P2+'Driving Code'!D10)</f>
        <v>88.21</v>
      </c>
      <c r="C17" s="200"/>
      <c r="D17" s="200"/>
      <c r="E17" s="200"/>
      <c r="F17" s="200"/>
      <c r="G17" s="200"/>
      <c r="H17" s="22"/>
      <c r="I17" s="10" t="str">
        <f>TRIM('RC Checklist'!H21)</f>
        <v/>
      </c>
      <c r="J17" s="10">
        <f>'RC Checklist'!J21</f>
        <v>1</v>
      </c>
      <c r="K17" s="12">
        <f>IFERROR(VLOOKUP(I17, FixedItem[],2,FALSE),0)</f>
        <v>0</v>
      </c>
      <c r="L17" s="12">
        <f t="shared" si="0"/>
        <v>0</v>
      </c>
      <c r="M17" s="10">
        <f>IFERROR(VLOOKUP(I17,FixedItem[],4,FALSE),0)</f>
        <v>0</v>
      </c>
      <c r="N17" s="12">
        <f>IFERROR(M17*VLOOKUP(I17, FixedItem[],5,FALSE)*UserTable15[[#This Row],[Quantity]],0)</f>
        <v>0</v>
      </c>
      <c r="O17" s="10">
        <f>IFERROR(VLOOKUP(I17, FixedItem[],3,FALSE)*UserTable15[[#This Row],[Quantity]],0)</f>
        <v>0</v>
      </c>
      <c r="P17" s="12">
        <f>UserTable15[[#This Row],[Labor]]*$B$6</f>
        <v>0</v>
      </c>
      <c r="Q17" s="12">
        <f t="shared" si="1"/>
        <v>0</v>
      </c>
      <c r="R17" s="22"/>
      <c r="S17" s="10" t="str">
        <f>TRIM('Driving Code'!P19)</f>
        <v/>
      </c>
      <c r="T17" s="12">
        <f>'RC Checklist'!K61</f>
        <v>0</v>
      </c>
      <c r="U17" s="10">
        <f>'RC Checklist'!J61</f>
        <v>1</v>
      </c>
      <c r="V17" s="12">
        <f>VariableCost18[[#This Row],[Quantity]]*VariableCost18[[#This Row],[Cost of Item]]</f>
        <v>0</v>
      </c>
      <c r="W17" s="22"/>
    </row>
    <row r="18" spans="1:23">
      <c r="A18" t="s">
        <v>3148</v>
      </c>
      <c r="B18" s="200">
        <f>'Driving Code'!D10</f>
        <v>10</v>
      </c>
      <c r="C18" s="200"/>
      <c r="D18" s="200"/>
      <c r="E18" s="200"/>
      <c r="F18" s="200"/>
      <c r="G18" s="200"/>
      <c r="H18" s="22"/>
      <c r="I18" s="10" t="str">
        <f>TRIM('RC Checklist'!H22)</f>
        <v/>
      </c>
      <c r="J18" s="10">
        <f>'RC Checklist'!J22</f>
        <v>1</v>
      </c>
      <c r="K18" s="12">
        <f>IFERROR(VLOOKUP(I18, FixedItem[],2,FALSE),0)</f>
        <v>0</v>
      </c>
      <c r="L18" s="12">
        <f t="shared" si="0"/>
        <v>0</v>
      </c>
      <c r="M18" s="10">
        <f>IFERROR(VLOOKUP(I18,FixedItem[],4,FALSE),0)</f>
        <v>0</v>
      </c>
      <c r="N18" s="12">
        <f>IFERROR(M18*VLOOKUP(I18, FixedItem[],5,FALSE)*UserTable15[[#This Row],[Quantity]],0)</f>
        <v>0</v>
      </c>
      <c r="O18" s="10">
        <f>IFERROR(VLOOKUP(I18, FixedItem[],3,FALSE)*UserTable15[[#This Row],[Quantity]],0)</f>
        <v>0</v>
      </c>
      <c r="P18" s="12">
        <f>UserTable15[[#This Row],[Labor]]*$B$6</f>
        <v>0</v>
      </c>
      <c r="Q18" s="12">
        <f t="shared" si="1"/>
        <v>0</v>
      </c>
      <c r="R18" s="22"/>
      <c r="S18" s="10" t="str">
        <f>TRIM('Driving Code'!P20)</f>
        <v/>
      </c>
      <c r="T18" s="12">
        <f>'RC Checklist'!K62</f>
        <v>0</v>
      </c>
      <c r="U18" s="10">
        <f>'RC Checklist'!J62</f>
        <v>1</v>
      </c>
      <c r="V18" s="12">
        <f>VariableCost18[[#This Row],[Quantity]]*VariableCost18[[#This Row],[Cost of Item]]</f>
        <v>0</v>
      </c>
      <c r="W18" s="22"/>
    </row>
    <row r="19" spans="1:23">
      <c r="A19" t="s">
        <v>3032</v>
      </c>
      <c r="B19" s="202">
        <f>'Driving Code'!F2</f>
        <v>78.209999999999994</v>
      </c>
      <c r="C19" s="202"/>
      <c r="D19" s="202"/>
      <c r="E19" s="202"/>
      <c r="F19" s="202"/>
      <c r="G19" s="202"/>
      <c r="H19" s="22"/>
      <c r="I19" s="10" t="str">
        <f>TRIM('RC Checklist'!H23)</f>
        <v/>
      </c>
      <c r="J19" s="10">
        <f>'RC Checklist'!J23</f>
        <v>1</v>
      </c>
      <c r="K19" s="12">
        <f>IFERROR(VLOOKUP(I19, FixedItem[],2,FALSE),0)</f>
        <v>0</v>
      </c>
      <c r="L19" s="12">
        <f t="shared" si="0"/>
        <v>0</v>
      </c>
      <c r="M19" s="10">
        <f>IFERROR(VLOOKUP(I19,FixedItem[],4,FALSE),0)</f>
        <v>0</v>
      </c>
      <c r="N19" s="12">
        <f>IFERROR(M19*VLOOKUP(I19, FixedItem[],5,FALSE)*UserTable15[[#This Row],[Quantity]],0)</f>
        <v>0</v>
      </c>
      <c r="O19" s="10">
        <f>IFERROR(VLOOKUP(I19, FixedItem[],3,FALSE)*UserTable15[[#This Row],[Quantity]],0)</f>
        <v>0</v>
      </c>
      <c r="P19" s="12">
        <f>UserTable15[[#This Row],[Labor]]*$B$6</f>
        <v>0</v>
      </c>
      <c r="Q19" s="12">
        <f t="shared" si="1"/>
        <v>0</v>
      </c>
      <c r="R19" s="22"/>
      <c r="S19" s="10" t="str">
        <f>TRIM('Driving Code'!P21)</f>
        <v/>
      </c>
      <c r="T19" s="12">
        <f>'RC Checklist'!K63</f>
        <v>0</v>
      </c>
      <c r="U19" s="10">
        <f>'RC Checklist'!J63</f>
        <v>1</v>
      </c>
      <c r="V19" s="12">
        <f>VariableCost18[[#This Row],[Quantity]]*VariableCost18[[#This Row],[Cost of Item]]</f>
        <v>0</v>
      </c>
      <c r="W19" s="22"/>
    </row>
    <row r="20" spans="1:23">
      <c r="A20" t="s">
        <v>3033</v>
      </c>
      <c r="B20" s="202">
        <f>'Driving Code'!I2</f>
        <v>78.209999999999994</v>
      </c>
      <c r="C20" s="202"/>
      <c r="D20" s="202"/>
      <c r="E20" s="202"/>
      <c r="F20" s="202"/>
      <c r="G20" s="202"/>
      <c r="H20" s="22"/>
      <c r="I20" s="10" t="str">
        <f>TRIM('RC Checklist'!H24)</f>
        <v/>
      </c>
      <c r="J20" s="10">
        <f>'RC Checklist'!J24</f>
        <v>1</v>
      </c>
      <c r="K20" s="12">
        <f>IFERROR(VLOOKUP(I20, FixedItem[],2,FALSE),0)</f>
        <v>0</v>
      </c>
      <c r="L20" s="12">
        <f t="shared" si="0"/>
        <v>0</v>
      </c>
      <c r="M20" s="10">
        <f>IFERROR(VLOOKUP(I20,FixedItem[],4,FALSE),0)</f>
        <v>0</v>
      </c>
      <c r="N20" s="12">
        <f>IFERROR(M20*VLOOKUP(I20, FixedItem[],5,FALSE)*UserTable15[[#This Row],[Quantity]],0)</f>
        <v>0</v>
      </c>
      <c r="O20" s="10">
        <f>IFERROR(VLOOKUP(I20, FixedItem[],3,FALSE)*UserTable15[[#This Row],[Quantity]],0)</f>
        <v>0</v>
      </c>
      <c r="P20" s="12">
        <f>UserTable15[[#This Row],[Labor]]*$B$6</f>
        <v>0</v>
      </c>
      <c r="Q20" s="12">
        <f t="shared" si="1"/>
        <v>0</v>
      </c>
      <c r="R20" s="22"/>
      <c r="S20" s="10" t="str">
        <f>TRIM('Driving Code'!P22)</f>
        <v/>
      </c>
      <c r="T20" s="12">
        <f>'RC Checklist'!K64</f>
        <v>0</v>
      </c>
      <c r="U20" s="10">
        <f>'RC Checklist'!J64</f>
        <v>1</v>
      </c>
      <c r="V20" s="12">
        <f>VariableCost18[[#This Row],[Quantity]]*VariableCost18[[#This Row],[Cost of Item]]</f>
        <v>0</v>
      </c>
      <c r="W20" s="22"/>
    </row>
    <row r="21" spans="1:23">
      <c r="A21" t="s">
        <v>3034</v>
      </c>
      <c r="B21" s="202">
        <f>'Driving Code'!K2</f>
        <v>0</v>
      </c>
      <c r="C21" s="202"/>
      <c r="D21" s="202"/>
      <c r="E21" s="202"/>
      <c r="F21" s="202"/>
      <c r="G21" s="202"/>
      <c r="H21" s="22"/>
      <c r="I21" s="10" t="str">
        <f>TRIM('RC Checklist'!H25)</f>
        <v/>
      </c>
      <c r="J21" s="10">
        <f>'RC Checklist'!J25</f>
        <v>1</v>
      </c>
      <c r="K21" s="12">
        <f>IFERROR(VLOOKUP(I21, FixedItem[],2,FALSE),0)</f>
        <v>0</v>
      </c>
      <c r="L21" s="12">
        <f t="shared" si="0"/>
        <v>0</v>
      </c>
      <c r="M21" s="10">
        <f>IFERROR(VLOOKUP(I21,FixedItem[],4,FALSE),0)</f>
        <v>0</v>
      </c>
      <c r="N21" s="12">
        <f>IFERROR(M21*VLOOKUP(I21, FixedItem[],5,FALSE)*UserTable15[[#This Row],[Quantity]],0)</f>
        <v>0</v>
      </c>
      <c r="O21" s="10">
        <f>IFERROR(VLOOKUP(I21, FixedItem[],3,FALSE)*UserTable15[[#This Row],[Quantity]],0)</f>
        <v>0</v>
      </c>
      <c r="P21" s="12">
        <f>UserTable15[[#This Row],[Labor]]*$B$6</f>
        <v>0</v>
      </c>
      <c r="Q21" s="12">
        <f t="shared" si="1"/>
        <v>0</v>
      </c>
      <c r="R21" s="22"/>
      <c r="S21" s="10" t="str">
        <f>TRIM('Driving Code'!P23)</f>
        <v/>
      </c>
      <c r="T21" s="12">
        <f>'RC Checklist'!K65</f>
        <v>0</v>
      </c>
      <c r="U21" s="10">
        <f>'RC Checklist'!J65</f>
        <v>1</v>
      </c>
      <c r="V21" s="12">
        <f>VariableCost18[[#This Row],[Quantity]]*VariableCost18[[#This Row],[Cost of Item]]</f>
        <v>0</v>
      </c>
      <c r="W21" s="22"/>
    </row>
    <row r="22" spans="1:23">
      <c r="A22" t="s">
        <v>3035</v>
      </c>
      <c r="B22" s="203">
        <f>'Driving Code'!M2</f>
        <v>0</v>
      </c>
      <c r="C22" s="203"/>
      <c r="D22" s="203"/>
      <c r="E22" s="203"/>
      <c r="F22" s="203"/>
      <c r="G22" s="203"/>
      <c r="H22" s="22"/>
      <c r="I22" s="10" t="str">
        <f>TRIM('RC Checklist'!H26)</f>
        <v/>
      </c>
      <c r="J22" s="10">
        <f>'RC Checklist'!J26</f>
        <v>1</v>
      </c>
      <c r="K22" s="12">
        <f>IFERROR(VLOOKUP(I22, FixedItem[],2,FALSE),0)</f>
        <v>0</v>
      </c>
      <c r="L22" s="12">
        <f t="shared" si="0"/>
        <v>0</v>
      </c>
      <c r="M22" s="10">
        <f>IFERROR(VLOOKUP(I22,FixedItem[],4,FALSE),0)</f>
        <v>0</v>
      </c>
      <c r="N22" s="12">
        <f>IFERROR(M22*VLOOKUP(I22, FixedItem[],5,FALSE)*UserTable15[[#This Row],[Quantity]],0)</f>
        <v>0</v>
      </c>
      <c r="O22" s="10">
        <f>IFERROR(VLOOKUP(I22, FixedItem[],3,FALSE)*UserTable15[[#This Row],[Quantity]],0)</f>
        <v>0</v>
      </c>
      <c r="P22" s="12">
        <f>UserTable15[[#This Row],[Labor]]*$B$6</f>
        <v>0</v>
      </c>
      <c r="Q22" s="12">
        <f t="shared" si="1"/>
        <v>0</v>
      </c>
      <c r="R22" s="22"/>
      <c r="S22" s="10" t="str">
        <f>TRIM('Driving Code'!P24)</f>
        <v/>
      </c>
      <c r="T22" s="12">
        <f>'RC Checklist'!K66</f>
        <v>0</v>
      </c>
      <c r="U22" s="10">
        <f>'RC Checklist'!J66</f>
        <v>1</v>
      </c>
      <c r="V22" s="12">
        <f>VariableCost18[[#This Row],[Quantity]]*VariableCost18[[#This Row],[Cost of Item]]</f>
        <v>0</v>
      </c>
      <c r="W22" s="22"/>
    </row>
    <row r="23" spans="1:23">
      <c r="A23" s="95" t="s">
        <v>3037</v>
      </c>
      <c r="B23" s="201">
        <f>'Driving Code'!P2</f>
        <v>0</v>
      </c>
      <c r="C23" s="201"/>
      <c r="D23" s="201"/>
      <c r="E23" s="201"/>
      <c r="F23" s="201"/>
      <c r="G23" s="201"/>
      <c r="H23" s="22"/>
      <c r="I23" s="10" t="str">
        <f>TRIM('RC Checklist'!H27)</f>
        <v/>
      </c>
      <c r="J23" s="10">
        <f>'RC Checklist'!J27</f>
        <v>1</v>
      </c>
      <c r="K23" s="12">
        <f>IFERROR(VLOOKUP(I23, FixedItem[],2,FALSE),0)</f>
        <v>0</v>
      </c>
      <c r="L23" s="12">
        <f t="shared" si="0"/>
        <v>0</v>
      </c>
      <c r="M23" s="10">
        <f>IFERROR(VLOOKUP(I23,FixedItem[],4,FALSE),0)</f>
        <v>0</v>
      </c>
      <c r="N23" s="12">
        <f>IFERROR(M23*VLOOKUP(I23, FixedItem[],5,FALSE)*UserTable15[[#This Row],[Quantity]],0)</f>
        <v>0</v>
      </c>
      <c r="O23" s="10">
        <f>IFERROR(VLOOKUP(I23, FixedItem[],3,FALSE)*UserTable15[[#This Row],[Quantity]],0)</f>
        <v>0</v>
      </c>
      <c r="P23" s="12">
        <f>UserTable15[[#This Row],[Labor]]*$B$6</f>
        <v>0</v>
      </c>
      <c r="Q23" s="12">
        <f t="shared" si="1"/>
        <v>0</v>
      </c>
      <c r="R23" s="22"/>
      <c r="S23" s="10" t="str">
        <f>TRIM('Driving Code'!P25)</f>
        <v/>
      </c>
      <c r="T23" s="12">
        <f>'RC Checklist'!K67</f>
        <v>0</v>
      </c>
      <c r="U23" s="10">
        <f>'RC Checklist'!J67</f>
        <v>1</v>
      </c>
      <c r="V23" s="12">
        <f>VariableCost18[[#This Row],[Quantity]]*VariableCost18[[#This Row],[Cost of Item]]</f>
        <v>0</v>
      </c>
      <c r="W23" s="22"/>
    </row>
    <row r="24" spans="1:23">
      <c r="B24" s="199"/>
      <c r="C24" s="199"/>
      <c r="D24" s="199"/>
      <c r="E24" s="199"/>
      <c r="F24" s="199"/>
      <c r="G24" s="199"/>
      <c r="H24" s="22"/>
      <c r="I24" s="10" t="str">
        <f>TRIM('RC Checklist'!H28)</f>
        <v/>
      </c>
      <c r="J24" s="10">
        <f>'RC Checklist'!J28</f>
        <v>1</v>
      </c>
      <c r="K24" s="12">
        <f>IFERROR(VLOOKUP(I24, FixedItem[],2,FALSE),0)</f>
        <v>0</v>
      </c>
      <c r="L24" s="12">
        <f t="shared" si="0"/>
        <v>0</v>
      </c>
      <c r="M24" s="10">
        <f>IFERROR(VLOOKUP(I24,FixedItem[],4,FALSE),0)</f>
        <v>0</v>
      </c>
      <c r="N24" s="12">
        <f>IFERROR(M24*VLOOKUP(I24, FixedItem[],5,FALSE)*UserTable15[[#This Row],[Quantity]],0)</f>
        <v>0</v>
      </c>
      <c r="O24" s="10">
        <f>IFERROR(VLOOKUP(I24, FixedItem[],3,FALSE)*UserTable15[[#This Row],[Quantity]],0)</f>
        <v>0</v>
      </c>
      <c r="P24" s="12">
        <f>UserTable15[[#This Row],[Labor]]*$B$6</f>
        <v>0</v>
      </c>
      <c r="Q24" s="12">
        <f t="shared" si="1"/>
        <v>0</v>
      </c>
      <c r="R24" s="22"/>
      <c r="S24" s="10" t="str">
        <f>TRIM('Driving Code'!P26)</f>
        <v/>
      </c>
      <c r="T24" s="12">
        <f>'RC Checklist'!K68</f>
        <v>0</v>
      </c>
      <c r="U24" s="10">
        <f>'RC Checklist'!J68</f>
        <v>1</v>
      </c>
      <c r="V24" s="12">
        <f>VariableCost18[[#This Row],[Quantity]]*VariableCost18[[#This Row],[Cost of Item]]</f>
        <v>0</v>
      </c>
      <c r="W24" s="22"/>
    </row>
    <row r="25" spans="1:23">
      <c r="B25" s="199"/>
      <c r="C25" s="199"/>
      <c r="D25" s="199"/>
      <c r="E25" s="199"/>
      <c r="F25" s="199"/>
      <c r="G25" s="199"/>
      <c r="H25" s="22"/>
      <c r="I25" s="10" t="str">
        <f>TRIM('RC Checklist'!H29)</f>
        <v/>
      </c>
      <c r="J25" s="10">
        <f>'RC Checklist'!J29</f>
        <v>1</v>
      </c>
      <c r="K25" s="12">
        <f>IFERROR(VLOOKUP(I25, FixedItem[],2,FALSE),0)</f>
        <v>0</v>
      </c>
      <c r="L25" s="12">
        <f t="shared" si="0"/>
        <v>0</v>
      </c>
      <c r="M25" s="10">
        <f>IFERROR(VLOOKUP(I25,FixedItem[],4,FALSE),0)</f>
        <v>0</v>
      </c>
      <c r="N25" s="12">
        <f>IFERROR(M25*VLOOKUP(I25, FixedItem[],5,FALSE)*UserTable15[[#This Row],[Quantity]],0)</f>
        <v>0</v>
      </c>
      <c r="O25" s="10">
        <f>IFERROR(VLOOKUP(I25, FixedItem[],3,FALSE)*UserTable15[[#This Row],[Quantity]],0)</f>
        <v>0</v>
      </c>
      <c r="P25" s="12">
        <f>UserTable15[[#This Row],[Labor]]*$B$6</f>
        <v>0</v>
      </c>
      <c r="Q25" s="12">
        <f t="shared" si="1"/>
        <v>0</v>
      </c>
      <c r="R25" s="22"/>
      <c r="S25" s="10" t="str">
        <f>TRIM('Driving Code'!P27)</f>
        <v/>
      </c>
      <c r="T25" s="12">
        <f>'RC Checklist'!K69</f>
        <v>0</v>
      </c>
      <c r="U25" s="10">
        <f>'RC Checklist'!J69</f>
        <v>1</v>
      </c>
      <c r="V25" s="12">
        <f>VariableCost18[[#This Row],[Quantity]]*VariableCost18[[#This Row],[Cost of Item]]</f>
        <v>0</v>
      </c>
      <c r="W25" s="22"/>
    </row>
    <row r="26" spans="1:23">
      <c r="B26" s="199"/>
      <c r="C26" s="199"/>
      <c r="D26" s="199"/>
      <c r="E26" s="199"/>
      <c r="F26" s="199"/>
      <c r="G26" s="199"/>
      <c r="H26" s="22"/>
      <c r="I26" s="10" t="str">
        <f>TRIM('RC Checklist'!H30)</f>
        <v/>
      </c>
      <c r="J26" s="10">
        <f>'RC Checklist'!J30</f>
        <v>1</v>
      </c>
      <c r="K26" s="12">
        <f>IFERROR(VLOOKUP(I26, FixedItem[],2,FALSE),0)</f>
        <v>0</v>
      </c>
      <c r="L26" s="12">
        <f t="shared" si="0"/>
        <v>0</v>
      </c>
      <c r="M26" s="10">
        <f>IFERROR(VLOOKUP(I26,FixedItem[],4,FALSE),0)</f>
        <v>0</v>
      </c>
      <c r="N26" s="12">
        <f>IFERROR(M26*VLOOKUP(I26, FixedItem[],5,FALSE)*UserTable15[[#This Row],[Quantity]],0)</f>
        <v>0</v>
      </c>
      <c r="O26" s="10">
        <f>IFERROR(VLOOKUP(I26, FixedItem[],3,FALSE)*UserTable15[[#This Row],[Quantity]],0)</f>
        <v>0</v>
      </c>
      <c r="P26" s="12">
        <f>UserTable15[[#This Row],[Labor]]*$B$6</f>
        <v>0</v>
      </c>
      <c r="Q26" s="12">
        <f t="shared" si="1"/>
        <v>0</v>
      </c>
      <c r="R26" s="22"/>
      <c r="S26" s="10" t="str">
        <f>TRIM('Driving Code'!P28)</f>
        <v/>
      </c>
      <c r="T26" s="12">
        <f>'RC Checklist'!K70</f>
        <v>0</v>
      </c>
      <c r="U26" s="10">
        <f>'RC Checklist'!J70</f>
        <v>1</v>
      </c>
      <c r="V26" s="12">
        <f>VariableCost18[[#This Row],[Quantity]]*VariableCost18[[#This Row],[Cost of Item]]</f>
        <v>0</v>
      </c>
      <c r="W26" s="22"/>
    </row>
    <row r="27" spans="1:23">
      <c r="B27" s="199"/>
      <c r="C27" s="199"/>
      <c r="D27" s="199"/>
      <c r="E27" s="199"/>
      <c r="F27" s="199"/>
      <c r="G27" s="199"/>
      <c r="H27" s="22"/>
      <c r="I27" s="10" t="str">
        <f>TRIM('RC Checklist'!H31)</f>
        <v/>
      </c>
      <c r="J27" s="10">
        <f>'RC Checklist'!J31</f>
        <v>1</v>
      </c>
      <c r="K27" s="12">
        <f>IFERROR(VLOOKUP(I27, FixedItem[],2,FALSE),0)</f>
        <v>0</v>
      </c>
      <c r="L27" s="12">
        <f t="shared" si="0"/>
        <v>0</v>
      </c>
      <c r="M27" s="10">
        <f>IFERROR(VLOOKUP(I27,FixedItem[],4,FALSE),0)</f>
        <v>0</v>
      </c>
      <c r="N27" s="12">
        <f>IFERROR(M27*VLOOKUP(I27, FixedItem[],5,FALSE)*UserTable15[[#This Row],[Quantity]],0)</f>
        <v>0</v>
      </c>
      <c r="O27" s="10">
        <f>IFERROR(VLOOKUP(I27, FixedItem[],3,FALSE)*UserTable15[[#This Row],[Quantity]],0)</f>
        <v>0</v>
      </c>
      <c r="P27" s="12">
        <f>UserTable15[[#This Row],[Labor]]*$B$6</f>
        <v>0</v>
      </c>
      <c r="Q27" s="12">
        <f t="shared" si="1"/>
        <v>0</v>
      </c>
      <c r="R27" s="22"/>
      <c r="S27" s="10" t="str">
        <f>TRIM('Driving Code'!P29)</f>
        <v/>
      </c>
      <c r="T27" s="12">
        <f>'RC Checklist'!K71</f>
        <v>0</v>
      </c>
      <c r="U27" s="10">
        <f>'RC Checklist'!J71</f>
        <v>1</v>
      </c>
      <c r="V27" s="12">
        <f>VariableCost18[[#This Row],[Quantity]]*VariableCost18[[#This Row],[Cost of Item]]</f>
        <v>0</v>
      </c>
      <c r="W27" s="22"/>
    </row>
    <row r="28" spans="1:23">
      <c r="B28" s="199"/>
      <c r="C28" s="199"/>
      <c r="D28" s="199"/>
      <c r="E28" s="199"/>
      <c r="F28" s="199"/>
      <c r="G28" s="199"/>
      <c r="H28" s="22"/>
      <c r="I28" s="10" t="str">
        <f>TRIM('RC Checklist'!H32)</f>
        <v/>
      </c>
      <c r="J28" s="10">
        <f>'RC Checklist'!J32</f>
        <v>1</v>
      </c>
      <c r="K28" s="12">
        <f>IFERROR(VLOOKUP(I28, FixedItem[],2,FALSE),0)</f>
        <v>0</v>
      </c>
      <c r="L28" s="12">
        <f t="shared" si="0"/>
        <v>0</v>
      </c>
      <c r="M28" s="10">
        <f>IFERROR(VLOOKUP(I28,FixedItem[],4,FALSE),0)</f>
        <v>0</v>
      </c>
      <c r="N28" s="12">
        <f>IFERROR(M28*VLOOKUP(I28, FixedItem[],5,FALSE)*UserTable15[[#This Row],[Quantity]],0)</f>
        <v>0</v>
      </c>
      <c r="O28" s="10">
        <f>IFERROR(VLOOKUP(I28, FixedItem[],3,FALSE)*UserTable15[[#This Row],[Quantity]],0)</f>
        <v>0</v>
      </c>
      <c r="P28" s="12">
        <f>UserTable15[[#This Row],[Labor]]*$B$6</f>
        <v>0</v>
      </c>
      <c r="Q28" s="12">
        <f t="shared" si="1"/>
        <v>0</v>
      </c>
      <c r="R28" s="22"/>
      <c r="S28" s="10" t="str">
        <f>TRIM('Driving Code'!P30)</f>
        <v/>
      </c>
      <c r="T28" s="12">
        <f>'RC Checklist'!K72</f>
        <v>0</v>
      </c>
      <c r="U28" s="10">
        <f>'RC Checklist'!J72</f>
        <v>1</v>
      </c>
      <c r="V28" s="12">
        <f>VariableCost18[[#This Row],[Quantity]]*VariableCost18[[#This Row],[Cost of Item]]</f>
        <v>0</v>
      </c>
      <c r="W28" s="22"/>
    </row>
    <row r="29" spans="1:23">
      <c r="B29" s="199"/>
      <c r="C29" s="199"/>
      <c r="D29" s="199"/>
      <c r="E29" s="199"/>
      <c r="F29" s="199"/>
      <c r="G29" s="199"/>
      <c r="H29" s="22"/>
      <c r="I29" s="10" t="str">
        <f>TRIM('RC Checklist'!H33)</f>
        <v/>
      </c>
      <c r="J29" s="10">
        <f>'RC Checklist'!J33</f>
        <v>1</v>
      </c>
      <c r="K29" s="12">
        <f>IFERROR(VLOOKUP(I29, FixedItem[],2,FALSE),0)</f>
        <v>0</v>
      </c>
      <c r="L29" s="12">
        <f t="shared" si="0"/>
        <v>0</v>
      </c>
      <c r="M29" s="10">
        <f>IFERROR(VLOOKUP(I29,FixedItem[],4,FALSE),0)</f>
        <v>0</v>
      </c>
      <c r="N29" s="12">
        <f>IFERROR(M29*VLOOKUP(I29, FixedItem[],5,FALSE)*UserTable15[[#This Row],[Quantity]],0)</f>
        <v>0</v>
      </c>
      <c r="O29" s="10">
        <f>IFERROR(VLOOKUP(I29, FixedItem[],3,FALSE)*UserTable15[[#This Row],[Quantity]],0)</f>
        <v>0</v>
      </c>
      <c r="P29" s="12">
        <f>UserTable15[[#This Row],[Labor]]*$B$6</f>
        <v>0</v>
      </c>
      <c r="Q29" s="12">
        <f t="shared" si="1"/>
        <v>0</v>
      </c>
      <c r="R29" s="22"/>
      <c r="S29" s="10" t="str">
        <f>TRIM('Driving Code'!P31)</f>
        <v/>
      </c>
      <c r="T29" s="12">
        <f>'RC Checklist'!K73</f>
        <v>0</v>
      </c>
      <c r="U29" s="10">
        <f>'RC Checklist'!J73</f>
        <v>1</v>
      </c>
      <c r="V29" s="12">
        <f>VariableCost18[[#This Row],[Quantity]]*VariableCost18[[#This Row],[Cost of Item]]</f>
        <v>0</v>
      </c>
      <c r="W29" s="22"/>
    </row>
    <row r="30" spans="1:23">
      <c r="B30" s="199"/>
      <c r="C30" s="199"/>
      <c r="D30" s="199"/>
      <c r="E30" s="199"/>
      <c r="F30" s="199"/>
      <c r="G30" s="199"/>
      <c r="H30" s="22"/>
      <c r="I30" s="10" t="str">
        <f>TRIM('RC Checklist'!H34)</f>
        <v/>
      </c>
      <c r="J30" s="10">
        <f>'RC Checklist'!J34</f>
        <v>1</v>
      </c>
      <c r="K30" s="12">
        <f>IFERROR(VLOOKUP(I30, FixedItem[],2,FALSE),0)</f>
        <v>0</v>
      </c>
      <c r="L30" s="12">
        <f t="shared" si="0"/>
        <v>0</v>
      </c>
      <c r="M30" s="10">
        <f>IFERROR(VLOOKUP(I30,FixedItem[],4,FALSE),0)</f>
        <v>0</v>
      </c>
      <c r="N30" s="12">
        <f>IFERROR(M30*VLOOKUP(I30, FixedItem[],5,FALSE)*UserTable15[[#This Row],[Quantity]],0)</f>
        <v>0</v>
      </c>
      <c r="O30" s="10">
        <f>IFERROR(VLOOKUP(I30, FixedItem[],3,FALSE)*UserTable15[[#This Row],[Quantity]],0)</f>
        <v>0</v>
      </c>
      <c r="P30" s="12">
        <f>UserTable15[[#This Row],[Labor]]*$B$6</f>
        <v>0</v>
      </c>
      <c r="Q30" s="12">
        <f t="shared" si="1"/>
        <v>0</v>
      </c>
      <c r="R30" s="22"/>
      <c r="S30" s="10" t="str">
        <f>TRIM('Driving Code'!P32)</f>
        <v/>
      </c>
      <c r="T30" s="12">
        <f>'RC Checklist'!K74</f>
        <v>0</v>
      </c>
      <c r="U30" s="10">
        <f>'RC Checklist'!J74</f>
        <v>1</v>
      </c>
      <c r="V30" s="12">
        <f>VariableCost18[[#This Row],[Quantity]]*VariableCost18[[#This Row],[Cost of Item]]</f>
        <v>0</v>
      </c>
      <c r="W30" s="22"/>
    </row>
    <row r="31" spans="1:23">
      <c r="B31" s="199"/>
      <c r="C31" s="199"/>
      <c r="D31" s="199"/>
      <c r="E31" s="199"/>
      <c r="F31" s="199"/>
      <c r="G31" s="199"/>
      <c r="H31" s="22"/>
      <c r="I31" s="10" t="str">
        <f>TRIM('RC Checklist'!H35)</f>
        <v/>
      </c>
      <c r="J31" s="10">
        <f>'RC Checklist'!J35</f>
        <v>1</v>
      </c>
      <c r="K31" s="12">
        <f>IFERROR(VLOOKUP(I31, FixedItem[],2,FALSE),0)</f>
        <v>0</v>
      </c>
      <c r="L31" s="12">
        <f t="shared" si="0"/>
        <v>0</v>
      </c>
      <c r="M31" s="10">
        <f>IFERROR(VLOOKUP(I31,FixedItem[],4,FALSE),0)</f>
        <v>0</v>
      </c>
      <c r="N31" s="12">
        <f>IFERROR(M31*VLOOKUP(I31, FixedItem[],5,FALSE)*UserTable15[[#This Row],[Quantity]],0)</f>
        <v>0</v>
      </c>
      <c r="O31" s="10">
        <f>IFERROR(VLOOKUP(I31, FixedItem[],3,FALSE)*UserTable15[[#This Row],[Quantity]],0)</f>
        <v>0</v>
      </c>
      <c r="P31" s="12">
        <f>UserTable15[[#This Row],[Labor]]*$B$6</f>
        <v>0</v>
      </c>
      <c r="Q31" s="12">
        <f t="shared" si="1"/>
        <v>0</v>
      </c>
      <c r="R31" s="22"/>
      <c r="S31" s="10" t="str">
        <f>TRIM('Driving Code'!P33)</f>
        <v/>
      </c>
      <c r="T31" s="12">
        <f>'RC Checklist'!K75</f>
        <v>0</v>
      </c>
      <c r="U31" s="10">
        <f>'RC Checklist'!J75</f>
        <v>1</v>
      </c>
      <c r="V31" s="12">
        <f>VariableCost18[[#This Row],[Quantity]]*VariableCost18[[#This Row],[Cost of Item]]</f>
        <v>0</v>
      </c>
      <c r="W31" s="22"/>
    </row>
    <row r="32" spans="1:23">
      <c r="B32" s="199"/>
      <c r="C32" s="199"/>
      <c r="D32" s="199"/>
      <c r="E32" s="199"/>
      <c r="F32" s="199"/>
      <c r="G32" s="199"/>
      <c r="H32" s="22"/>
      <c r="I32" s="10" t="str">
        <f>TRIM('RC Checklist'!H36)</f>
        <v/>
      </c>
      <c r="J32" s="10">
        <f>'RC Checklist'!J36</f>
        <v>1</v>
      </c>
      <c r="K32" s="12">
        <f>IFERROR(VLOOKUP(I32, FixedItem[],2,FALSE),0)</f>
        <v>0</v>
      </c>
      <c r="L32" s="12">
        <f t="shared" si="0"/>
        <v>0</v>
      </c>
      <c r="M32" s="10">
        <f>IFERROR(VLOOKUP(I32,FixedItem[],4,FALSE),0)</f>
        <v>0</v>
      </c>
      <c r="N32" s="12">
        <f>IFERROR(M32*VLOOKUP(I32, FixedItem[],5,FALSE)*UserTable15[[#This Row],[Quantity]],0)</f>
        <v>0</v>
      </c>
      <c r="O32" s="10">
        <f>IFERROR(VLOOKUP(I32, FixedItem[],3,FALSE)*UserTable15[[#This Row],[Quantity]],0)</f>
        <v>0</v>
      </c>
      <c r="P32" s="12">
        <f>UserTable15[[#This Row],[Labor]]*$B$6</f>
        <v>0</v>
      </c>
      <c r="Q32" s="12">
        <f t="shared" si="1"/>
        <v>0</v>
      </c>
      <c r="R32" s="22"/>
      <c r="S32" s="10" t="str">
        <f>TRIM('Driving Code'!P34)</f>
        <v/>
      </c>
      <c r="T32" s="12">
        <f>'RC Checklist'!K76</f>
        <v>0</v>
      </c>
      <c r="U32" s="10">
        <f>'RC Checklist'!J76</f>
        <v>1</v>
      </c>
      <c r="V32" s="12">
        <f>VariableCost18[[#This Row],[Quantity]]*VariableCost18[[#This Row],[Cost of Item]]</f>
        <v>0</v>
      </c>
      <c r="W32" s="22"/>
    </row>
    <row r="33" spans="1:23">
      <c r="B33" s="199"/>
      <c r="C33" s="199"/>
      <c r="D33" s="199"/>
      <c r="E33" s="199"/>
      <c r="F33" s="199"/>
      <c r="G33" s="199"/>
      <c r="H33" s="22"/>
      <c r="I33" s="10" t="str">
        <f>TRIM('RC Checklist'!H37)</f>
        <v/>
      </c>
      <c r="J33" s="10">
        <f>'RC Checklist'!J37</f>
        <v>1</v>
      </c>
      <c r="K33" s="12">
        <f>IFERROR(VLOOKUP(I33, FixedItem[],2,FALSE),0)</f>
        <v>0</v>
      </c>
      <c r="L33" s="12">
        <f>K33*J33</f>
        <v>0</v>
      </c>
      <c r="M33" s="10">
        <f>IFERROR(VLOOKUP(I33,FixedItem[],4,FALSE),0)</f>
        <v>0</v>
      </c>
      <c r="N33" s="12">
        <f>IFERROR(M33*VLOOKUP(I33, FixedItem[],5,FALSE)*UserTable15[[#This Row],[Quantity]],0)</f>
        <v>0</v>
      </c>
      <c r="O33" s="10">
        <f>IFERROR(VLOOKUP(I33, FixedItem[],3,FALSE)*UserTable15[[#This Row],[Quantity]],0)</f>
        <v>0</v>
      </c>
      <c r="P33" s="12">
        <f>UserTable15[[#This Row],[Labor]]*$B$6</f>
        <v>0</v>
      </c>
      <c r="Q33" s="12">
        <f t="shared" si="1"/>
        <v>0</v>
      </c>
      <c r="R33" s="22"/>
      <c r="S33" s="10" t="str">
        <f>TRIM('Driving Code'!P35)</f>
        <v/>
      </c>
      <c r="T33" s="12">
        <f>'RC Checklist'!K77</f>
        <v>0</v>
      </c>
      <c r="U33" s="10">
        <f>'RC Checklist'!J77</f>
        <v>1</v>
      </c>
      <c r="V33" s="12">
        <f>VariableCost18[[#This Row],[Quantity]]*VariableCost18[[#This Row],[Cost of Item]]</f>
        <v>0</v>
      </c>
      <c r="W33" s="22"/>
    </row>
    <row r="34" spans="1:23">
      <c r="A34" s="22"/>
      <c r="B34" s="22"/>
      <c r="C34" s="22"/>
      <c r="D34" s="22"/>
      <c r="E34" s="22"/>
      <c r="F34" s="22"/>
      <c r="G34" s="22"/>
      <c r="H34" s="22"/>
      <c r="I34" s="22"/>
      <c r="J34" s="22"/>
      <c r="K34" s="22"/>
      <c r="L34" s="22"/>
      <c r="M34" s="22"/>
      <c r="N34" s="22"/>
      <c r="O34" s="22"/>
      <c r="P34" s="22"/>
      <c r="Q34" s="22"/>
      <c r="R34" s="22"/>
      <c r="S34" s="22"/>
      <c r="T34" s="22"/>
      <c r="U34" s="22"/>
      <c r="V34" s="22"/>
      <c r="W34" s="22"/>
    </row>
    <row r="35" spans="1:23">
      <c r="A35" s="22"/>
      <c r="B35" s="22"/>
      <c r="C35" s="22"/>
      <c r="D35" s="22"/>
      <c r="E35" s="22"/>
      <c r="F35" s="22"/>
      <c r="G35" s="22"/>
      <c r="H35" s="22"/>
      <c r="I35" s="22"/>
      <c r="J35" s="22"/>
      <c r="K35" s="22"/>
      <c r="L35" s="22"/>
      <c r="M35" s="22"/>
      <c r="N35" s="22"/>
      <c r="O35" s="22"/>
      <c r="P35" s="22"/>
      <c r="Q35" s="22"/>
      <c r="R35" s="22"/>
      <c r="S35" s="22"/>
      <c r="T35" s="22"/>
      <c r="U35" s="22"/>
      <c r="V35" s="22"/>
      <c r="W35" s="22"/>
    </row>
  </sheetData>
  <sheetProtection selectLockedCells="1" selectUnlockedCells="1"/>
  <mergeCells count="34">
    <mergeCell ref="I1:Q2"/>
    <mergeCell ref="S1:V2"/>
    <mergeCell ref="B20:G20"/>
    <mergeCell ref="B13:G13"/>
    <mergeCell ref="A15:G15"/>
    <mergeCell ref="A3:G3"/>
    <mergeCell ref="A1:G2"/>
    <mergeCell ref="B6:G6"/>
    <mergeCell ref="B14:G14"/>
    <mergeCell ref="B4:G4"/>
    <mergeCell ref="B5:G5"/>
    <mergeCell ref="B7:G7"/>
    <mergeCell ref="B16:G16"/>
    <mergeCell ref="B19:G19"/>
    <mergeCell ref="B8:G8"/>
    <mergeCell ref="B9:G9"/>
    <mergeCell ref="B10:G10"/>
    <mergeCell ref="B11:G11"/>
    <mergeCell ref="B12:G12"/>
    <mergeCell ref="B17:G17"/>
    <mergeCell ref="B32:G32"/>
    <mergeCell ref="B23:G23"/>
    <mergeCell ref="B18:G18"/>
    <mergeCell ref="B21:G21"/>
    <mergeCell ref="B22:G22"/>
    <mergeCell ref="B33:G33"/>
    <mergeCell ref="B24:G24"/>
    <mergeCell ref="B25:G25"/>
    <mergeCell ref="B26:G26"/>
    <mergeCell ref="B27:G27"/>
    <mergeCell ref="B28:G28"/>
    <mergeCell ref="B29:G29"/>
    <mergeCell ref="B30:G30"/>
    <mergeCell ref="B31:G31"/>
  </mergeCells>
  <pageMargins left="0.7" right="0.7" top="0.75" bottom="0.75" header="0.3" footer="0.3"/>
  <pageSetup orientation="portrait"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90CB0-8CF5-4CD3-834D-A3CE9F710ACB}">
  <sheetPr codeName="Sheet5"/>
  <dimension ref="A1:CQ88"/>
  <sheetViews>
    <sheetView tabSelected="1" workbookViewId="0">
      <selection activeCell="E88" sqref="A1:E88"/>
    </sheetView>
  </sheetViews>
  <sheetFormatPr defaultRowHeight="15"/>
  <cols>
    <col min="1" max="1" width="55.140625" bestFit="1" customWidth="1"/>
    <col min="2" max="2" width="9.140625" style="9"/>
    <col min="3" max="3" width="13.7109375" bestFit="1" customWidth="1"/>
    <col min="4" max="4" width="11.85546875" bestFit="1" customWidth="1"/>
    <col min="5" max="5" width="16.28515625" style="9" bestFit="1" customWidth="1"/>
    <col min="6" max="6" width="10.28515625" hidden="1" customWidth="1"/>
    <col min="7" max="7" width="12.28515625" hidden="1" customWidth="1"/>
    <col min="8" max="8" width="46.5703125" customWidth="1"/>
    <col min="9" max="9" width="11.28515625" bestFit="1" customWidth="1"/>
    <col min="10" max="10" width="13.28515625" bestFit="1" customWidth="1"/>
    <col min="11" max="11" width="17.140625" bestFit="1" customWidth="1"/>
    <col min="12" max="12" width="11.28515625" bestFit="1" customWidth="1"/>
    <col min="13" max="13" width="13.28515625" bestFit="1" customWidth="1"/>
    <col min="14" max="14" width="17.140625" bestFit="1" customWidth="1"/>
    <col min="15" max="15" width="11.28515625" bestFit="1" customWidth="1"/>
    <col min="16" max="16" width="13.28515625" bestFit="1" customWidth="1"/>
    <col min="17" max="17" width="17.140625" bestFit="1" customWidth="1"/>
    <col min="18" max="18" width="11.28515625" bestFit="1" customWidth="1"/>
    <col min="19" max="19" width="13.28515625" bestFit="1" customWidth="1"/>
    <col min="20" max="20" width="17.140625" bestFit="1" customWidth="1"/>
    <col min="21" max="21" width="11.28515625" bestFit="1" customWidth="1"/>
    <col min="22" max="22" width="13.28515625" bestFit="1" customWidth="1"/>
    <col min="23" max="23" width="17.140625" bestFit="1" customWidth="1"/>
    <col min="24" max="24" width="11.28515625" bestFit="1" customWidth="1"/>
    <col min="25" max="25" width="13.28515625" bestFit="1" customWidth="1"/>
    <col min="26" max="26" width="17.140625" bestFit="1" customWidth="1"/>
    <col min="27" max="27" width="11.28515625" bestFit="1" customWidth="1"/>
    <col min="28" max="28" width="13.28515625" bestFit="1" customWidth="1"/>
    <col min="29" max="29" width="18.140625" bestFit="1" customWidth="1"/>
    <col min="30" max="30" width="11.28515625" bestFit="1" customWidth="1"/>
    <col min="31" max="31" width="14.28515625" bestFit="1" customWidth="1"/>
    <col min="32" max="32" width="18.140625" bestFit="1" customWidth="1"/>
    <col min="33" max="33" width="12.28515625" bestFit="1" customWidth="1"/>
    <col min="34" max="34" width="14.28515625" bestFit="1" customWidth="1"/>
    <col min="35" max="35" width="18.140625" bestFit="1" customWidth="1"/>
    <col min="36" max="36" width="12.28515625" bestFit="1" customWidth="1"/>
    <col min="37" max="37" width="14.28515625" bestFit="1" customWidth="1"/>
    <col min="38" max="38" width="18.140625" bestFit="1" customWidth="1"/>
    <col min="39" max="39" width="12.28515625" bestFit="1" customWidth="1"/>
    <col min="40" max="40" width="14.28515625" bestFit="1" customWidth="1"/>
    <col min="41" max="41" width="18.140625" bestFit="1" customWidth="1"/>
    <col min="42" max="42" width="12.28515625" bestFit="1" customWidth="1"/>
    <col min="43" max="43" width="14.28515625" bestFit="1" customWidth="1"/>
    <col min="44" max="44" width="18.140625" bestFit="1" customWidth="1"/>
    <col min="45" max="45" width="12.28515625" bestFit="1" customWidth="1"/>
    <col min="46" max="46" width="14.28515625" bestFit="1" customWidth="1"/>
    <col min="47" max="47" width="18.140625" bestFit="1" customWidth="1"/>
    <col min="48" max="48" width="12.28515625" bestFit="1" customWidth="1"/>
    <col min="49" max="49" width="14.28515625" bestFit="1" customWidth="1"/>
    <col min="50" max="50" width="18.140625" bestFit="1" customWidth="1"/>
    <col min="51" max="51" width="12.28515625" bestFit="1" customWidth="1"/>
    <col min="52" max="52" width="14.28515625" bestFit="1" customWidth="1"/>
    <col min="53" max="53" width="18.140625" bestFit="1" customWidth="1"/>
    <col min="54" max="54" width="12.28515625" bestFit="1" customWidth="1"/>
    <col min="55" max="55" width="14.28515625" bestFit="1" customWidth="1"/>
    <col min="56" max="56" width="18.140625" bestFit="1" customWidth="1"/>
    <col min="57" max="57" width="12.28515625" bestFit="1" customWidth="1"/>
    <col min="58" max="58" width="14.28515625" bestFit="1" customWidth="1"/>
    <col min="59" max="59" width="18.140625" bestFit="1" customWidth="1"/>
    <col min="60" max="60" width="12.28515625" bestFit="1" customWidth="1"/>
    <col min="61" max="61" width="14.28515625" bestFit="1" customWidth="1"/>
    <col min="62" max="62" width="18.140625" bestFit="1" customWidth="1"/>
    <col min="63" max="63" width="12.28515625" bestFit="1" customWidth="1"/>
    <col min="64" max="64" width="14.28515625" bestFit="1" customWidth="1"/>
    <col min="65" max="65" width="18.140625" bestFit="1" customWidth="1"/>
    <col min="66" max="66" width="12.28515625" bestFit="1" customWidth="1"/>
    <col min="67" max="67" width="14.28515625" bestFit="1" customWidth="1"/>
    <col min="68" max="68" width="18.140625" bestFit="1" customWidth="1"/>
    <col min="69" max="69" width="12.28515625" bestFit="1" customWidth="1"/>
    <col min="70" max="70" width="14.28515625" bestFit="1" customWidth="1"/>
    <col min="71" max="71" width="18.140625" bestFit="1" customWidth="1"/>
    <col min="72" max="72" width="12.28515625" bestFit="1" customWidth="1"/>
    <col min="73" max="73" width="14.28515625" bestFit="1" customWidth="1"/>
    <col min="74" max="74" width="18.140625" bestFit="1" customWidth="1"/>
    <col min="75" max="75" width="12.28515625" bestFit="1" customWidth="1"/>
    <col min="76" max="76" width="14.28515625" bestFit="1" customWidth="1"/>
    <col min="77" max="77" width="18.140625" bestFit="1" customWidth="1"/>
    <col min="78" max="78" width="12.28515625" bestFit="1" customWidth="1"/>
    <col min="79" max="79" width="14.28515625" bestFit="1" customWidth="1"/>
    <col min="80" max="80" width="18.140625" bestFit="1" customWidth="1"/>
    <col min="81" max="81" width="12.28515625" bestFit="1" customWidth="1"/>
    <col min="82" max="82" width="14.28515625" bestFit="1" customWidth="1"/>
    <col min="83" max="83" width="18.140625" bestFit="1" customWidth="1"/>
    <col min="84" max="84" width="12.28515625" bestFit="1" customWidth="1"/>
    <col min="85" max="85" width="14.28515625" bestFit="1" customWidth="1"/>
    <col min="86" max="86" width="18.140625" bestFit="1" customWidth="1"/>
    <col min="87" max="87" width="12.28515625" bestFit="1" customWidth="1"/>
    <col min="88" max="88" width="14.28515625" bestFit="1" customWidth="1"/>
    <col min="89" max="89" width="18.140625" bestFit="1" customWidth="1"/>
    <col min="90" max="90" width="12.28515625" bestFit="1" customWidth="1"/>
    <col min="91" max="91" width="14.28515625" bestFit="1" customWidth="1"/>
    <col min="92" max="92" width="18.140625" bestFit="1" customWidth="1"/>
    <col min="93" max="93" width="12.28515625" bestFit="1" customWidth="1"/>
    <col min="94" max="94" width="14.28515625" bestFit="1" customWidth="1"/>
    <col min="95" max="95" width="18.140625" bestFit="1" customWidth="1"/>
  </cols>
  <sheetData>
    <row r="1" spans="1:95">
      <c r="A1" t="s">
        <v>2925</v>
      </c>
      <c r="B1" s="9" t="s">
        <v>8</v>
      </c>
      <c r="C1" t="s">
        <v>2926</v>
      </c>
      <c r="D1" t="s">
        <v>2927</v>
      </c>
      <c r="E1" s="9" t="s">
        <v>2930</v>
      </c>
      <c r="F1" t="s">
        <v>3013</v>
      </c>
      <c r="G1" t="s">
        <v>3014</v>
      </c>
      <c r="H1" t="s">
        <v>3015</v>
      </c>
      <c r="I1" t="s">
        <v>3261</v>
      </c>
      <c r="J1" t="s">
        <v>3262</v>
      </c>
      <c r="K1" t="s">
        <v>3263</v>
      </c>
      <c r="L1" t="s">
        <v>3264</v>
      </c>
      <c r="M1" t="s">
        <v>3265</v>
      </c>
      <c r="N1" t="s">
        <v>3266</v>
      </c>
      <c r="O1" t="s">
        <v>3267</v>
      </c>
      <c r="P1" t="s">
        <v>3268</v>
      </c>
      <c r="Q1" t="s">
        <v>3269</v>
      </c>
      <c r="R1" t="s">
        <v>3270</v>
      </c>
      <c r="S1" t="s">
        <v>3271</v>
      </c>
      <c r="T1" t="s">
        <v>3272</v>
      </c>
      <c r="U1" t="s">
        <v>3273</v>
      </c>
      <c r="V1" t="s">
        <v>3274</v>
      </c>
      <c r="W1" t="s">
        <v>3275</v>
      </c>
      <c r="X1" t="s">
        <v>3276</v>
      </c>
      <c r="Y1" t="s">
        <v>3277</v>
      </c>
      <c r="Z1" t="s">
        <v>3278</v>
      </c>
      <c r="AA1" t="s">
        <v>3279</v>
      </c>
      <c r="AB1" t="s">
        <v>3280</v>
      </c>
      <c r="AC1" t="s">
        <v>3281</v>
      </c>
      <c r="AD1" t="s">
        <v>3282</v>
      </c>
      <c r="AE1" t="s">
        <v>3283</v>
      </c>
      <c r="AF1" t="s">
        <v>3284</v>
      </c>
      <c r="AG1" t="s">
        <v>3285</v>
      </c>
      <c r="AH1" t="s">
        <v>3286</v>
      </c>
      <c r="AI1" t="s">
        <v>3287</v>
      </c>
      <c r="AJ1" t="s">
        <v>3288</v>
      </c>
      <c r="AK1" t="s">
        <v>3289</v>
      </c>
      <c r="AL1" t="s">
        <v>3290</v>
      </c>
      <c r="AM1" t="s">
        <v>3291</v>
      </c>
      <c r="AN1" t="s">
        <v>3292</v>
      </c>
      <c r="AO1" t="s">
        <v>3293</v>
      </c>
      <c r="AP1" t="s">
        <v>3294</v>
      </c>
      <c r="AQ1" t="s">
        <v>3295</v>
      </c>
      <c r="AR1" t="s">
        <v>3296</v>
      </c>
      <c r="AS1" t="s">
        <v>3297</v>
      </c>
      <c r="AT1" t="s">
        <v>3298</v>
      </c>
      <c r="AU1" t="s">
        <v>3299</v>
      </c>
      <c r="AV1" t="s">
        <v>3300</v>
      </c>
      <c r="AW1" t="s">
        <v>3301</v>
      </c>
      <c r="AX1" t="s">
        <v>3302</v>
      </c>
      <c r="AY1" t="s">
        <v>3303</v>
      </c>
      <c r="AZ1" t="s">
        <v>3304</v>
      </c>
      <c r="BA1" t="s">
        <v>3305</v>
      </c>
      <c r="BB1" t="s">
        <v>3306</v>
      </c>
      <c r="BC1" t="s">
        <v>3307</v>
      </c>
      <c r="BD1" t="s">
        <v>3308</v>
      </c>
      <c r="BE1" t="s">
        <v>3309</v>
      </c>
      <c r="BF1" t="s">
        <v>3310</v>
      </c>
      <c r="BG1" t="s">
        <v>3311</v>
      </c>
      <c r="BH1" t="s">
        <v>3312</v>
      </c>
      <c r="BI1" t="s">
        <v>3313</v>
      </c>
      <c r="BJ1" t="s">
        <v>3314</v>
      </c>
      <c r="BK1" t="s">
        <v>3315</v>
      </c>
      <c r="BL1" t="s">
        <v>3316</v>
      </c>
      <c r="BM1" t="s">
        <v>3317</v>
      </c>
      <c r="BN1" t="s">
        <v>3318</v>
      </c>
      <c r="BO1" t="s">
        <v>3319</v>
      </c>
      <c r="BP1" t="s">
        <v>3320</v>
      </c>
      <c r="BQ1" t="s">
        <v>3321</v>
      </c>
      <c r="BR1" t="s">
        <v>3322</v>
      </c>
      <c r="BS1" t="s">
        <v>3323</v>
      </c>
      <c r="BT1" t="s">
        <v>3324</v>
      </c>
      <c r="BU1" t="s">
        <v>3325</v>
      </c>
      <c r="BV1" t="s">
        <v>3326</v>
      </c>
      <c r="BW1" t="s">
        <v>3327</v>
      </c>
      <c r="BX1" t="s">
        <v>3328</v>
      </c>
      <c r="BY1" t="s">
        <v>3329</v>
      </c>
      <c r="BZ1" t="s">
        <v>3330</v>
      </c>
      <c r="CA1" t="s">
        <v>3331</v>
      </c>
      <c r="CB1" t="s">
        <v>3332</v>
      </c>
      <c r="CC1" t="s">
        <v>3333</v>
      </c>
      <c r="CD1" t="s">
        <v>3334</v>
      </c>
      <c r="CE1" t="s">
        <v>3335</v>
      </c>
      <c r="CF1" t="s">
        <v>3336</v>
      </c>
      <c r="CG1" t="s">
        <v>3337</v>
      </c>
      <c r="CH1" t="s">
        <v>3338</v>
      </c>
      <c r="CI1" t="s">
        <v>3339</v>
      </c>
      <c r="CJ1" t="s">
        <v>3340</v>
      </c>
      <c r="CK1" t="s">
        <v>3341</v>
      </c>
      <c r="CL1" t="s">
        <v>3342</v>
      </c>
      <c r="CM1" t="s">
        <v>3343</v>
      </c>
      <c r="CN1" t="s">
        <v>3344</v>
      </c>
      <c r="CO1" t="s">
        <v>3345</v>
      </c>
      <c r="CP1" t="s">
        <v>3346</v>
      </c>
      <c r="CQ1" t="s">
        <v>3347</v>
      </c>
    </row>
    <row r="2" spans="1:95">
      <c r="A2" t="s">
        <v>3183</v>
      </c>
      <c r="B2" s="9">
        <v>1.91</v>
      </c>
      <c r="C2">
        <v>0</v>
      </c>
      <c r="D2">
        <v>0</v>
      </c>
      <c r="E2" s="9">
        <v>0</v>
      </c>
      <c r="F2">
        <f>--ISNUMBER(SEARCH('RC Checklist'!$H$8,A2))</f>
        <v>1</v>
      </c>
      <c r="G2">
        <f>IF(F2=1,COUNTIF($F$2:$F2,1),"")</f>
        <v>1</v>
      </c>
      <c r="H2" t="str">
        <f>IFERROR(INDEX(FixedItem[Item], MATCH(ROWS($G$2:$G2),FixedItem[frequency], 0)),"")</f>
        <v>1/2" drywall - hung, taped, floated, ready for paint</v>
      </c>
      <c r="I2">
        <f>--ISNUMBER(SEARCH('RC Checklist'!$H$9,A2))</f>
        <v>1</v>
      </c>
      <c r="J2">
        <f ca="1">IF(I2=1,COUNTIF($J$2:$J2,1),"")</f>
        <v>0</v>
      </c>
      <c r="K2">
        <f ca="1">IFERROR(INDEX(FixedItem[Item], MATCH(ROWS($J$2:$J2),FixedItem[frequency3], 0)),"")</f>
        <v>0</v>
      </c>
      <c r="L2">
        <f>--ISNUMBER(SEARCH('RC Checklist'!$H$10,A2))</f>
        <v>1</v>
      </c>
      <c r="M2">
        <f>IF(L2=1,COUNTIF($L$2:$L2,1),"")</f>
        <v>1</v>
      </c>
      <c r="N2" t="str">
        <f>IFERROR(INDEX(FixedItem[Item], MATCH(ROWS($G$2:$G2),FixedItem[frequency4], 0)),"")</f>
        <v>1/2" drywall - hung, taped, floated, ready for paint</v>
      </c>
      <c r="O2">
        <f ca="1">--ISNUMBER(SEARCH('RC Checklist'!$H$8,J2))</f>
        <v>0</v>
      </c>
      <c r="P2" t="str">
        <f ca="1">IF(O2=1,COUNTIF($F$2:$F2,1),"")</f>
        <v/>
      </c>
      <c r="Q2" t="str">
        <f>IFERROR(INDEX(FixedItem[Item], MATCH(ROWS($G$2:$G2),FixedItem[frequency], 0)),"")</f>
        <v>1/2" drywall - hung, taped, floated, ready for paint</v>
      </c>
      <c r="R2">
        <f>--ISNUMBER(SEARCH('RC Checklist'!$H$8,M2))</f>
        <v>0</v>
      </c>
      <c r="S2" t="str">
        <f>IF(R2=1,COUNTIF($F$2:$F2,1),"")</f>
        <v/>
      </c>
      <c r="T2" t="str">
        <f>IFERROR(INDEX(FixedItem[Item], MATCH(ROWS($G$2:$G2),FixedItem[frequency], 0)),"")</f>
        <v>1/2" drywall - hung, taped, floated, ready for paint</v>
      </c>
      <c r="U2">
        <f ca="1">--ISNUMBER(SEARCH('RC Checklist'!$H$8,P2))</f>
        <v>0</v>
      </c>
      <c r="V2" t="str">
        <f ca="1">IF(U2=1,COUNTIF($F$2:$F2,1),"")</f>
        <v/>
      </c>
      <c r="W2" t="str">
        <f>IFERROR(INDEX(FixedItem[Item], MATCH(ROWS($G$2:$G2),FixedItem[frequency], 0)),"")</f>
        <v>1/2" drywall - hung, taped, floated, ready for paint</v>
      </c>
      <c r="X2">
        <f>--ISNUMBER(SEARCH('RC Checklist'!$H$8,S2))</f>
        <v>0</v>
      </c>
      <c r="Y2" t="str">
        <f>IF(X2=1,COUNTIF($F$2:$F2,1),"")</f>
        <v/>
      </c>
      <c r="Z2" t="str">
        <f>IFERROR(INDEX(FixedItem[Item], MATCH(ROWS($G$2:$G2),FixedItem[frequency], 0)),"")</f>
        <v>1/2" drywall - hung, taped, floated, ready for paint</v>
      </c>
      <c r="AA2">
        <f ca="1">--ISNUMBER(SEARCH('RC Checklist'!$H$8,V2))</f>
        <v>0</v>
      </c>
      <c r="AB2" t="str">
        <f ca="1">IF(AA2=1,COUNTIF($F$2:$F2,1),"")</f>
        <v/>
      </c>
      <c r="AC2" t="str">
        <f>IFERROR(INDEX(FixedItem[Item], MATCH(ROWS($G$2:$G2),FixedItem[frequency], 0)),"")</f>
        <v>1/2" drywall - hung, taped, floated, ready for paint</v>
      </c>
      <c r="AD2">
        <f>--ISNUMBER(SEARCH('RC Checklist'!$H$8,Y2))</f>
        <v>0</v>
      </c>
      <c r="AE2" t="str">
        <f>IF(AD2=1,COUNTIF($F$2:$F2,1),"")</f>
        <v/>
      </c>
      <c r="AF2" t="str">
        <f>IFERROR(INDEX(FixedItem[Item], MATCH(ROWS($G$2:$G2),FixedItem[frequency], 0)),"")</f>
        <v>1/2" drywall - hung, taped, floated, ready for paint</v>
      </c>
      <c r="AG2">
        <f ca="1">--ISNUMBER(SEARCH('RC Checklist'!$H$8,AB2))</f>
        <v>0</v>
      </c>
      <c r="AH2" t="str">
        <f ca="1">IF(AG2=1,COUNTIF($F$2:$F2,1),"")</f>
        <v/>
      </c>
      <c r="AI2" t="str">
        <f>IFERROR(INDEX(FixedItem[Item], MATCH(ROWS($G$2:$G2),FixedItem[frequency], 0)),"")</f>
        <v>1/2" drywall - hung, taped, floated, ready for paint</v>
      </c>
      <c r="AJ2">
        <f>--ISNUMBER(SEARCH('RC Checklist'!$H$8,AE2))</f>
        <v>0</v>
      </c>
      <c r="AK2" t="str">
        <f>IF(AJ2=1,COUNTIF($F$2:$F2,1),"")</f>
        <v/>
      </c>
      <c r="AL2" t="str">
        <f>IFERROR(INDEX(FixedItem[Item], MATCH(ROWS($G$2:$G2),FixedItem[frequency], 0)),"")</f>
        <v>1/2" drywall - hung, taped, floated, ready for paint</v>
      </c>
      <c r="AM2">
        <f ca="1">--ISNUMBER(SEARCH('RC Checklist'!$H$8,AH2))</f>
        <v>0</v>
      </c>
      <c r="AN2" t="str">
        <f ca="1">IF(AM2=1,COUNTIF($F$2:$F2,1),"")</f>
        <v/>
      </c>
      <c r="AO2" t="str">
        <f>IFERROR(INDEX(FixedItem[Item], MATCH(ROWS($G$2:$G2),FixedItem[frequency], 0)),"")</f>
        <v>1/2" drywall - hung, taped, floated, ready for paint</v>
      </c>
      <c r="AP2">
        <f>--ISNUMBER(SEARCH('RC Checklist'!$H$8,AK2))</f>
        <v>0</v>
      </c>
      <c r="AQ2" t="str">
        <f>IF(AP2=1,COUNTIF($F$2:$F2,1),"")</f>
        <v/>
      </c>
      <c r="AR2" t="str">
        <f>IFERROR(INDEX(FixedItem[Item], MATCH(ROWS($G$2:$G2),FixedItem[frequency], 0)),"")</f>
        <v>1/2" drywall - hung, taped, floated, ready for paint</v>
      </c>
      <c r="AS2">
        <f ca="1">--ISNUMBER(SEARCH('RC Checklist'!$H$8,AN2))</f>
        <v>0</v>
      </c>
      <c r="AT2" t="str">
        <f ca="1">IF(AS2=1,COUNTIF($F$2:$F2,1),"")</f>
        <v/>
      </c>
      <c r="AU2" t="str">
        <f>IFERROR(INDEX(FixedItem[Item], MATCH(ROWS($G$2:$G2),FixedItem[frequency], 0)),"")</f>
        <v>1/2" drywall - hung, taped, floated, ready for paint</v>
      </c>
      <c r="AV2">
        <f>--ISNUMBER(SEARCH('RC Checklist'!$H$8,AQ2))</f>
        <v>0</v>
      </c>
      <c r="AW2" t="str">
        <f>IF(AV2=1,COUNTIF($F$2:$F2,1),"")</f>
        <v/>
      </c>
      <c r="AX2" t="str">
        <f>IFERROR(INDEX(FixedItem[Item], MATCH(ROWS($G$2:$G2),FixedItem[frequency], 0)),"")</f>
        <v>1/2" drywall - hung, taped, floated, ready for paint</v>
      </c>
      <c r="AY2">
        <f ca="1">--ISNUMBER(SEARCH('RC Checklist'!$H$8,AT2))</f>
        <v>0</v>
      </c>
      <c r="AZ2" t="str">
        <f ca="1">IF(AY2=1,COUNTIF($F$2:$F2,1),"")</f>
        <v/>
      </c>
      <c r="BA2" t="str">
        <f>IFERROR(INDEX(FixedItem[Item], MATCH(ROWS($G$2:$G2),FixedItem[frequency], 0)),"")</f>
        <v>1/2" drywall - hung, taped, floated, ready for paint</v>
      </c>
      <c r="BB2">
        <f>--ISNUMBER(SEARCH('RC Checklist'!$H$8,AW2))</f>
        <v>0</v>
      </c>
      <c r="BC2" t="str">
        <f>IF(BB2=1,COUNTIF($F$2:$F2,1),"")</f>
        <v/>
      </c>
      <c r="BD2" t="str">
        <f>IFERROR(INDEX(FixedItem[Item], MATCH(ROWS($G$2:$G2),FixedItem[frequency], 0)),"")</f>
        <v>1/2" drywall - hung, taped, floated, ready for paint</v>
      </c>
      <c r="BE2">
        <f ca="1">--ISNUMBER(SEARCH('RC Checklist'!$H$8,AZ2))</f>
        <v>0</v>
      </c>
      <c r="BF2" t="str">
        <f ca="1">IF(BE2=1,COUNTIF($F$2:$F2,1),"")</f>
        <v/>
      </c>
      <c r="BG2" t="str">
        <f>IFERROR(INDEX(FixedItem[Item], MATCH(ROWS($G$2:$G2),FixedItem[frequency], 0)),"")</f>
        <v>1/2" drywall - hung, taped, floated, ready for paint</v>
      </c>
      <c r="BH2">
        <f>--ISNUMBER(SEARCH('RC Checklist'!$H$8,BC2))</f>
        <v>0</v>
      </c>
      <c r="BI2" t="str">
        <f>IF(BH2=1,COUNTIF($F$2:$F2,1),"")</f>
        <v/>
      </c>
      <c r="BJ2" t="str">
        <f>IFERROR(INDEX(FixedItem[Item], MATCH(ROWS($G$2:$G2),FixedItem[frequency], 0)),"")</f>
        <v>1/2" drywall - hung, taped, floated, ready for paint</v>
      </c>
      <c r="BK2">
        <f ca="1">--ISNUMBER(SEARCH('RC Checklist'!$H$8,BF2))</f>
        <v>0</v>
      </c>
      <c r="BL2" t="str">
        <f ca="1">IF(BK2=1,COUNTIF($F$2:$F2,1),"")</f>
        <v/>
      </c>
      <c r="BM2" t="str">
        <f>IFERROR(INDEX(FixedItem[Item], MATCH(ROWS($G$2:$G2),FixedItem[frequency], 0)),"")</f>
        <v>1/2" drywall - hung, taped, floated, ready for paint</v>
      </c>
      <c r="BN2">
        <f>--ISNUMBER(SEARCH('RC Checklist'!$H$8,BI2))</f>
        <v>0</v>
      </c>
      <c r="BO2" t="str">
        <f>IF(BN2=1,COUNTIF($F$2:$F2,1),"")</f>
        <v/>
      </c>
      <c r="BP2" t="str">
        <f>IFERROR(INDEX(FixedItem[Item], MATCH(ROWS($G$2:$G2),FixedItem[frequency], 0)),"")</f>
        <v>1/2" drywall - hung, taped, floated, ready for paint</v>
      </c>
      <c r="BQ2">
        <f ca="1">--ISNUMBER(SEARCH('RC Checklist'!$H$8,BL2))</f>
        <v>0</v>
      </c>
      <c r="BR2" t="str">
        <f ca="1">IF(BQ2=1,COUNTIF($F$2:$F2,1),"")</f>
        <v/>
      </c>
      <c r="BS2" t="str">
        <f>IFERROR(INDEX(FixedItem[Item], MATCH(ROWS($G$2:$G2),FixedItem[frequency], 0)),"")</f>
        <v>1/2" drywall - hung, taped, floated, ready for paint</v>
      </c>
      <c r="BT2">
        <f>--ISNUMBER(SEARCH('RC Checklist'!$H$8,BO2))</f>
        <v>0</v>
      </c>
      <c r="BU2" t="str">
        <f>IF(BT2=1,COUNTIF($F$2:$F2,1),"")</f>
        <v/>
      </c>
      <c r="BV2" t="str">
        <f>IFERROR(INDEX(FixedItem[Item], MATCH(ROWS($G$2:$G2),FixedItem[frequency], 0)),"")</f>
        <v>1/2" drywall - hung, taped, floated, ready for paint</v>
      </c>
      <c r="BW2">
        <f ca="1">--ISNUMBER(SEARCH('RC Checklist'!$H$8,BR2))</f>
        <v>0</v>
      </c>
      <c r="BX2" t="str">
        <f ca="1">IF(BW2=1,COUNTIF($F$2:$F2,1),"")</f>
        <v/>
      </c>
      <c r="BY2" t="str">
        <f>IFERROR(INDEX(FixedItem[Item], MATCH(ROWS($G$2:$G2),FixedItem[frequency], 0)),"")</f>
        <v>1/2" drywall - hung, taped, floated, ready for paint</v>
      </c>
      <c r="BZ2">
        <f>--ISNUMBER(SEARCH('RC Checklist'!$H$8,BU2))</f>
        <v>0</v>
      </c>
      <c r="CA2" t="str">
        <f>IF(BZ2=1,COUNTIF($F$2:$F2,1),"")</f>
        <v/>
      </c>
      <c r="CB2" t="str">
        <f>IFERROR(INDEX(FixedItem[Item], MATCH(ROWS($G$2:$G2),FixedItem[frequency], 0)),"")</f>
        <v>1/2" drywall - hung, taped, floated, ready for paint</v>
      </c>
      <c r="CC2">
        <f ca="1">--ISNUMBER(SEARCH('RC Checklist'!$H$8,BX2))</f>
        <v>0</v>
      </c>
      <c r="CD2" t="str">
        <f ca="1">IF(CC2=1,COUNTIF($F$2:$F2,1),"")</f>
        <v/>
      </c>
      <c r="CE2" t="str">
        <f>IFERROR(INDEX(FixedItem[Item], MATCH(ROWS($G$2:$G2),FixedItem[frequency], 0)),"")</f>
        <v>1/2" drywall - hung, taped, floated, ready for paint</v>
      </c>
      <c r="CF2">
        <f>--ISNUMBER(SEARCH('RC Checklist'!$H$8,CA2))</f>
        <v>0</v>
      </c>
      <c r="CG2" t="str">
        <f>IF(CF2=1,COUNTIF($F$2:$F2,1),"")</f>
        <v/>
      </c>
      <c r="CH2" t="str">
        <f>IFERROR(INDEX(FixedItem[Item], MATCH(ROWS($G$2:$G2),FixedItem[frequency], 0)),"")</f>
        <v>1/2" drywall - hung, taped, floated, ready for paint</v>
      </c>
      <c r="CI2">
        <f ca="1">--ISNUMBER(SEARCH('RC Checklist'!$H$8,CD2))</f>
        <v>0</v>
      </c>
      <c r="CJ2" t="str">
        <f ca="1">IF(CI2=1,COUNTIF($F$2:$F2,1),"")</f>
        <v/>
      </c>
      <c r="CK2" t="str">
        <f>IFERROR(INDEX(FixedItem[Item], MATCH(ROWS($G$2:$G2),FixedItem[frequency], 0)),"")</f>
        <v>1/2" drywall - hung, taped, floated, ready for paint</v>
      </c>
      <c r="CL2">
        <f>--ISNUMBER(SEARCH('RC Checklist'!$H$8,CG2))</f>
        <v>0</v>
      </c>
      <c r="CM2" t="str">
        <f>IF(CL2=1,COUNTIF($F$2:$F2,1),"")</f>
        <v/>
      </c>
      <c r="CN2" t="str">
        <f>IFERROR(INDEX(FixedItem[Item], MATCH(ROWS($G$2:$G2),FixedItem[frequency], 0)),"")</f>
        <v>1/2" drywall - hung, taped, floated, ready for paint</v>
      </c>
      <c r="CO2">
        <f ca="1">--ISNUMBER(SEARCH('RC Checklist'!$H$8,CJ2))</f>
        <v>0</v>
      </c>
      <c r="CP2" t="str">
        <f ca="1">IF(CO2=1,COUNTIF($F$2:$F2,1),"")</f>
        <v/>
      </c>
      <c r="CQ2" t="str">
        <f>IFERROR(INDEX(FixedItem[Item], MATCH(ROWS($G$2:$G2),FixedItem[frequency], 0)),"")</f>
        <v>1/2" drywall - hung, taped, floated, ready for paint</v>
      </c>
    </row>
    <row r="3" spans="1:95">
      <c r="A3" t="s">
        <v>3214</v>
      </c>
      <c r="B3" s="9">
        <v>71.099999999999994</v>
      </c>
      <c r="C3">
        <v>0</v>
      </c>
      <c r="D3">
        <v>0</v>
      </c>
      <c r="E3" s="9">
        <v>0</v>
      </c>
      <c r="F3">
        <f>--ISNUMBER(SEARCH('RC Checklist'!$H$8,A3))</f>
        <v>1</v>
      </c>
      <c r="G3">
        <f>IF(F3=1,COUNTIF($F$2:$F3,1),"")</f>
        <v>2</v>
      </c>
      <c r="H3" t="str">
        <f>IFERROR(INDEX(FixedItem[Item], MATCH(ROWS($G$2:$G3),FixedItem[frequency], 0)),"")</f>
        <v>Add for lazy susan</v>
      </c>
      <c r="I3">
        <f>--ISNUMBER(SEARCH('RC Checklist'!$H$9,A3))</f>
        <v>1</v>
      </c>
      <c r="J3">
        <f ca="1">IF(I3=1,COUNTIF($J$2:$J3,1),"")</f>
        <v>0</v>
      </c>
      <c r="K3">
        <f ca="1">IFERROR(INDEX(FixedItem[Item], MATCH(ROWS($J$2:$J3),FixedItem[frequency3], 0)),"")</f>
        <v>0</v>
      </c>
    </row>
    <row r="4" spans="1:95">
      <c r="A4" t="s">
        <v>3215</v>
      </c>
      <c r="B4" s="9">
        <v>72</v>
      </c>
      <c r="C4">
        <v>0</v>
      </c>
      <c r="D4">
        <v>0</v>
      </c>
      <c r="E4" s="9">
        <v>0</v>
      </c>
      <c r="F4">
        <f>--ISNUMBER(SEARCH('RC Checklist'!$H$8,A4))</f>
        <v>1</v>
      </c>
      <c r="G4">
        <f>IF(F4=1,COUNTIF($F$2:$F4,1),"")</f>
        <v>3</v>
      </c>
      <c r="H4" t="str">
        <f>IFERROR(INDEX(FixedItem[Item], MATCH(ROWS($G$2:$G4),FixedItem[frequency], 0)),"")</f>
        <v>Add for pullout trash bin</v>
      </c>
      <c r="I4">
        <f>--ISNUMBER(SEARCH('RC Checklist'!$H$9,A4))</f>
        <v>1</v>
      </c>
      <c r="J4">
        <f ca="1">IF(I4=1,COUNTIF($J$2:$J4,1),"")</f>
        <v>0</v>
      </c>
      <c r="K4">
        <f ca="1">IFERROR(INDEX(FixedItem[Item], MATCH(ROWS($J$2:$J4),FixedItem[frequency3], 0)),"")</f>
        <v>0</v>
      </c>
    </row>
    <row r="5" spans="1:95">
      <c r="A5" t="s">
        <v>3212</v>
      </c>
      <c r="B5" s="9">
        <v>14.84</v>
      </c>
      <c r="C5">
        <v>0</v>
      </c>
      <c r="D5">
        <v>0</v>
      </c>
      <c r="E5" s="9">
        <v>0</v>
      </c>
      <c r="F5">
        <f>--ISNUMBER(SEARCH('RC Checklist'!$H$8,A5))</f>
        <v>1</v>
      </c>
      <c r="G5">
        <f>IF(F5=1,COUNTIF($F$2:$F5,1),"")</f>
        <v>4</v>
      </c>
      <c r="H5" t="str">
        <f>IFERROR(INDEX(FixedItem[Item], MATCH(ROWS($G$2:$G5),FixedItem[frequency], 0)),"")</f>
        <v>Add-on for tile backsplash installation</v>
      </c>
      <c r="I5">
        <f>--ISNUMBER(SEARCH('RC Checklist'!$H$9,A5))</f>
        <v>1</v>
      </c>
      <c r="J5">
        <f ca="1">IF(I5=1,COUNTIF($J$2:$J5,1),"")</f>
        <v>0</v>
      </c>
      <c r="K5">
        <f ca="1">IFERROR(INDEX(FixedItem[Item], MATCH(ROWS($J$2:$J5),FixedItem[frequency3], 0)),"")</f>
        <v>0</v>
      </c>
    </row>
    <row r="6" spans="1:95">
      <c r="A6" t="s">
        <v>3217</v>
      </c>
      <c r="B6" s="9">
        <v>121.62</v>
      </c>
      <c r="C6">
        <v>0</v>
      </c>
      <c r="D6">
        <v>0</v>
      </c>
      <c r="E6" s="9">
        <v>0</v>
      </c>
      <c r="F6">
        <f>--ISNUMBER(SEARCH('RC Checklist'!$H$8,A6))</f>
        <v>1</v>
      </c>
      <c r="G6">
        <f>IF(F6=1,COUNTIF($F$2:$F6,1),"")</f>
        <v>5</v>
      </c>
      <c r="H6" t="str">
        <f>IFERROR(INDEX(FixedItem[Item], MATCH(ROWS($G$2:$G6),FixedItem[frequency], 0)),"")</f>
        <v>Add-on for undermount sink cutout &amp; polish - single basin</v>
      </c>
      <c r="I6">
        <f>--ISNUMBER(SEARCH('RC Checklist'!$H$9,A6))</f>
        <v>1</v>
      </c>
      <c r="J6">
        <f ca="1">IF(I6=1,COUNTIF($J$2:$J6,1),"")</f>
        <v>0</v>
      </c>
      <c r="K6">
        <f ca="1">IFERROR(INDEX(FixedItem[Item], MATCH(ROWS($J$2:$J6),FixedItem[frequency3], 0)),"")</f>
        <v>0</v>
      </c>
    </row>
    <row r="7" spans="1:95">
      <c r="A7" t="s">
        <v>3218</v>
      </c>
      <c r="B7" s="9">
        <v>15.25</v>
      </c>
      <c r="C7">
        <v>0</v>
      </c>
      <c r="D7">
        <v>0</v>
      </c>
      <c r="E7" s="9">
        <v>0</v>
      </c>
      <c r="F7">
        <f>--ISNUMBER(SEARCH('RC Checklist'!$H$8,A7))</f>
        <v>1</v>
      </c>
      <c r="G7">
        <f>IF(F7=1,COUNTIF($F$2:$F7,1),"")</f>
        <v>6</v>
      </c>
      <c r="H7" t="str">
        <f>IFERROR(INDEX(FixedItem[Item], MATCH(ROWS($G$2:$G7),FixedItem[frequency], 0)),"")</f>
        <v>Add-on granite or marble - edge treatment</v>
      </c>
      <c r="I7">
        <f>--ISNUMBER(SEARCH('RC Checklist'!$H$9,A7))</f>
        <v>1</v>
      </c>
      <c r="J7">
        <f ca="1">IF(I7=1,COUNTIF($J$2:$J7,1),"")</f>
        <v>0</v>
      </c>
      <c r="K7">
        <f ca="1">IFERROR(INDEX(FixedItem[Item], MATCH(ROWS($J$2:$J7),FixedItem[frequency3], 0)),"")</f>
        <v>0</v>
      </c>
    </row>
    <row r="8" spans="1:95">
      <c r="A8" s="79" t="s">
        <v>3172</v>
      </c>
      <c r="B8" s="9">
        <v>2.16</v>
      </c>
      <c r="C8">
        <v>0</v>
      </c>
      <c r="D8">
        <v>0</v>
      </c>
      <c r="E8" s="9">
        <v>0</v>
      </c>
      <c r="F8">
        <f>--ISNUMBER(SEARCH('RC Checklist'!$H$8,A8))</f>
        <v>1</v>
      </c>
      <c r="G8">
        <f>IF(F8=1,COUNTIF($F$2:$F8,1),"")</f>
        <v>7</v>
      </c>
      <c r="H8" t="str">
        <f>IFERROR(INDEX(FixedItem[Item], MATCH(ROWS($G$2:$G8),FixedItem[frequency], 0)),"")</f>
        <v>Baseboard - 2 1/4"</v>
      </c>
      <c r="I8">
        <f>--ISNUMBER(SEARCH('RC Checklist'!$H$9,A8))</f>
        <v>1</v>
      </c>
      <c r="J8">
        <f ca="1">IF(I8=1,COUNTIF($J$2:$J8,1),"")</f>
        <v>0</v>
      </c>
      <c r="K8">
        <f ca="1">IFERROR(INDEX(FixedItem[Item], MATCH(ROWS($J$2:$J8),FixedItem[frequency3], 0)),"")</f>
        <v>0</v>
      </c>
    </row>
    <row r="9" spans="1:95">
      <c r="A9" s="79" t="s">
        <v>3232</v>
      </c>
      <c r="B9" s="9">
        <v>4.3499999999999996</v>
      </c>
      <c r="C9">
        <v>0</v>
      </c>
      <c r="D9">
        <v>0</v>
      </c>
      <c r="E9" s="9">
        <v>0</v>
      </c>
      <c r="F9">
        <f>--ISNUMBER(SEARCH('RC Checklist'!$H$8,A9))</f>
        <v>1</v>
      </c>
      <c r="G9">
        <f>IF(F9=1,COUNTIF($F$2:$F9,1),"")</f>
        <v>8</v>
      </c>
      <c r="H9" t="str">
        <f>IFERROR(INDEX(FixedItem[Item], MATCH(ROWS($G$2:$G9),FixedItem[frequency], 0)),"")</f>
        <v>Baseboard - 6"</v>
      </c>
      <c r="I9">
        <f>--ISNUMBER(SEARCH('RC Checklist'!$H$9,A9))</f>
        <v>1</v>
      </c>
      <c r="J9">
        <f ca="1">IF(I9=1,COUNTIF($J$2:$J9,1),"")</f>
        <v>0</v>
      </c>
      <c r="K9">
        <f ca="1">IFERROR(INDEX(FixedItem[Item], MATCH(ROWS($J$2:$J9),FixedItem[frequency3], 0)),"")</f>
        <v>0</v>
      </c>
    </row>
    <row r="10" spans="1:95">
      <c r="A10" t="s">
        <v>3176</v>
      </c>
      <c r="B10" s="9">
        <v>119.9</v>
      </c>
      <c r="C10">
        <v>0</v>
      </c>
      <c r="D10">
        <v>0</v>
      </c>
      <c r="E10" s="9">
        <v>0</v>
      </c>
      <c r="F10">
        <f>--ISNUMBER(SEARCH('RC Checklist'!$H$8,A10))</f>
        <v>1</v>
      </c>
      <c r="G10">
        <f>IF(F10=1,COUNTIF($F$2:$F10,1),"")</f>
        <v>9</v>
      </c>
      <c r="H10" t="str">
        <f>IFERROR(INDEX(FixedItem[Item], MATCH(ROWS($G$2:$G10),FixedItem[frequency], 0)),"")</f>
        <v>Baseboard electric heater - 4'</v>
      </c>
      <c r="I10">
        <f>--ISNUMBER(SEARCH('RC Checklist'!$H$9,A10))</f>
        <v>1</v>
      </c>
      <c r="J10">
        <f ca="1">IF(I10=1,COUNTIF($J$2:$J10,1),"")</f>
        <v>0</v>
      </c>
      <c r="K10">
        <f ca="1">IFERROR(INDEX(FixedItem[Item], MATCH(ROWS($J$2:$J10),FixedItem[frequency3], 0)),"")</f>
        <v>0</v>
      </c>
    </row>
    <row r="11" spans="1:95">
      <c r="A11" t="s">
        <v>3185</v>
      </c>
      <c r="B11" s="9">
        <v>81.790000000000006</v>
      </c>
      <c r="C11">
        <v>0</v>
      </c>
      <c r="D11">
        <v>0</v>
      </c>
      <c r="E11" s="9">
        <v>0</v>
      </c>
      <c r="F11">
        <f>--ISNUMBER(SEARCH('RC Checklist'!$H$8,A11))</f>
        <v>1</v>
      </c>
      <c r="G11">
        <f>IF(F11=1,COUNTIF($F$2:$F11,1),"")</f>
        <v>10</v>
      </c>
      <c r="H11" t="str">
        <f>IFERROR(INDEX(FixedItem[Item], MATCH(ROWS($G$2:$G11),FixedItem[frequency], 0)),"")</f>
        <v>Bathroom ventilation fan</v>
      </c>
      <c r="I11">
        <f>--ISNUMBER(SEARCH('RC Checklist'!$H$9,A11))</f>
        <v>1</v>
      </c>
      <c r="J11">
        <f ca="1">IF(I11=1,COUNTIF($J$2:$J11,1),"")</f>
        <v>0</v>
      </c>
      <c r="K11">
        <f ca="1">IFERROR(INDEX(FixedItem[Item], MATCH(ROWS($J$2:$J11),FixedItem[frequency3], 0)),"")</f>
        <v>0</v>
      </c>
    </row>
    <row r="12" spans="1:95">
      <c r="A12" t="s">
        <v>3189</v>
      </c>
      <c r="B12" s="9">
        <v>1.33</v>
      </c>
      <c r="C12">
        <v>0</v>
      </c>
      <c r="D12">
        <v>0</v>
      </c>
      <c r="E12" s="9">
        <v>0</v>
      </c>
      <c r="F12">
        <f>--ISNUMBER(SEARCH('RC Checklist'!$H$8,A12))</f>
        <v>1</v>
      </c>
      <c r="G12">
        <f>IF(F12=1,COUNTIF($F$2:$F12,1),"")</f>
        <v>11</v>
      </c>
      <c r="H12" t="str">
        <f>IFERROR(INDEX(FixedItem[Item], MATCH(ROWS($G$2:$G12),FixedItem[frequency], 0)),"")</f>
        <v>Batt insulation - 10" - R30 - paper batt</v>
      </c>
      <c r="I12">
        <f>--ISNUMBER(SEARCH('RC Checklist'!$H$9,A12))</f>
        <v>1</v>
      </c>
      <c r="J12">
        <f ca="1">IF(I12=1,COUNTIF($J$2:$J12,1),"")</f>
        <v>0</v>
      </c>
      <c r="K12">
        <f ca="1">IFERROR(INDEX(FixedItem[Item], MATCH(ROWS($J$2:$J12),FixedItem[frequency3], 0)),"")</f>
        <v>0</v>
      </c>
    </row>
    <row r="13" spans="1:95">
      <c r="A13" t="s">
        <v>3204</v>
      </c>
      <c r="B13" s="9">
        <v>1.33</v>
      </c>
      <c r="C13">
        <v>0</v>
      </c>
      <c r="D13">
        <v>0</v>
      </c>
      <c r="E13" s="9">
        <v>0</v>
      </c>
      <c r="F13">
        <f>--ISNUMBER(SEARCH('RC Checklist'!$H$8,A13))</f>
        <v>1</v>
      </c>
      <c r="G13">
        <f>IF(F13=1,COUNTIF($F$2:$F13,1),"")</f>
        <v>12</v>
      </c>
      <c r="H13" t="str">
        <f>IFERROR(INDEX(FixedItem[Item], MATCH(ROWS($G$2:$G13),FixedItem[frequency], 0)),"")</f>
        <v>Batt insulation - 10" - R30 - paper faced</v>
      </c>
      <c r="I13">
        <f>--ISNUMBER(SEARCH('RC Checklist'!$H$9,A13))</f>
        <v>1</v>
      </c>
      <c r="J13">
        <f ca="1">IF(I13=1,COUNTIF($J$2:$J13,1),"")</f>
        <v>0</v>
      </c>
      <c r="K13">
        <f ca="1">IFERROR(INDEX(FixedItem[Item], MATCH(ROWS($J$2:$J13),FixedItem[frequency3], 0)),"")</f>
        <v>0</v>
      </c>
    </row>
    <row r="14" spans="1:95">
      <c r="A14" t="s">
        <v>3182</v>
      </c>
      <c r="B14" s="9">
        <v>1.25</v>
      </c>
      <c r="C14">
        <v>0</v>
      </c>
      <c r="D14">
        <v>0</v>
      </c>
      <c r="E14" s="9">
        <v>0</v>
      </c>
      <c r="F14">
        <f>--ISNUMBER(SEARCH('RC Checklist'!$H$8,A14))</f>
        <v>1</v>
      </c>
      <c r="G14">
        <f>IF(F14=1,COUNTIF($F$2:$F14,1),"")</f>
        <v>13</v>
      </c>
      <c r="H14" t="str">
        <f>IFERROR(INDEX(FixedItem[Item], MATCH(ROWS($G$2:$G14),FixedItem[frequency], 0)),"")</f>
        <v>Batt insulation - 10" - R30 - unfaced batt</v>
      </c>
      <c r="I14">
        <f>--ISNUMBER(SEARCH('RC Checklist'!$H$9,A14))</f>
        <v>1</v>
      </c>
      <c r="J14">
        <f ca="1">IF(I14=1,COUNTIF($J$2:$J14,1),"")</f>
        <v>0</v>
      </c>
      <c r="K14">
        <f ca="1">IFERROR(INDEX(FixedItem[Item], MATCH(ROWS($J$2:$J14),FixedItem[frequency3], 0)),"")</f>
        <v>0</v>
      </c>
    </row>
    <row r="15" spans="1:95">
      <c r="A15" t="s">
        <v>3188</v>
      </c>
      <c r="B15" s="9">
        <v>0.74</v>
      </c>
      <c r="C15">
        <v>0</v>
      </c>
      <c r="D15">
        <v>0</v>
      </c>
      <c r="E15" s="9">
        <v>0</v>
      </c>
      <c r="F15">
        <f>--ISNUMBER(SEARCH('RC Checklist'!$H$8,A15))</f>
        <v>1</v>
      </c>
      <c r="G15">
        <f>IF(F15=1,COUNTIF($F$2:$F15,1),"")</f>
        <v>14</v>
      </c>
      <c r="H15" t="str">
        <f>IFERROR(INDEX(FixedItem[Item], MATCH(ROWS($G$2:$G15),FixedItem[frequency], 0)),"")</f>
        <v>Batt insulation - 4" - R13 - unfaced batt</v>
      </c>
      <c r="I15">
        <f>--ISNUMBER(SEARCH('RC Checklist'!$H$9,A15))</f>
        <v>1</v>
      </c>
      <c r="J15">
        <f ca="1">IF(I15=1,COUNTIF($J$2:$J15,1),"")</f>
        <v>0</v>
      </c>
      <c r="K15">
        <f ca="1">IFERROR(INDEX(FixedItem[Item], MATCH(ROWS($J$2:$J15),FixedItem[frequency3], 0)),"")</f>
        <v>0</v>
      </c>
    </row>
    <row r="16" spans="1:95">
      <c r="A16" t="s">
        <v>3193</v>
      </c>
      <c r="B16" s="9">
        <v>100.21</v>
      </c>
      <c r="C16">
        <v>0</v>
      </c>
      <c r="D16">
        <v>0</v>
      </c>
      <c r="E16" s="9">
        <v>0</v>
      </c>
      <c r="F16">
        <f>--ISNUMBER(SEARCH('RC Checklist'!$H$8,A16))</f>
        <v>1</v>
      </c>
      <c r="G16">
        <f>IF(F16=1,COUNTIF($F$2:$F16,1),"")</f>
        <v>15</v>
      </c>
      <c r="H16" t="str">
        <f>IFERROR(INDEX(FixedItem[Item], MATCH(ROWS($G$2:$G16),FixedItem[frequency], 0)),"")</f>
        <v>Bifold door - Colonist - Single</v>
      </c>
      <c r="I16">
        <f>--ISNUMBER(SEARCH('RC Checklist'!$H$9,A16))</f>
        <v>1</v>
      </c>
      <c r="J16">
        <f ca="1">IF(I16=1,COUNTIF($J$2:$J16,1),"")</f>
        <v>0</v>
      </c>
      <c r="K16">
        <f ca="1">IFERROR(INDEX(FixedItem[Item], MATCH(ROWS($J$2:$J16),FixedItem[frequency3], 0)),"")</f>
        <v>0</v>
      </c>
    </row>
    <row r="17" spans="1:11">
      <c r="A17" t="s">
        <v>3247</v>
      </c>
      <c r="B17" s="9">
        <v>200.43</v>
      </c>
      <c r="C17">
        <v>0</v>
      </c>
      <c r="D17">
        <v>0</v>
      </c>
      <c r="E17" s="9">
        <v>0</v>
      </c>
      <c r="F17">
        <f>--ISNUMBER(SEARCH('RC Checklist'!$H$8,A17))</f>
        <v>1</v>
      </c>
      <c r="G17">
        <f>IF(F17=1,COUNTIF($F$2:$F17,1),"")</f>
        <v>16</v>
      </c>
      <c r="H17" t="str">
        <f>IFERROR(INDEX(FixedItem[Item], MATCH(ROWS($G$2:$G17),FixedItem[frequency], 0)),"")</f>
        <v>Bifold door set - Colonist - Double</v>
      </c>
      <c r="I17">
        <f>--ISNUMBER(SEARCH('RC Checklist'!$H$9,A17))</f>
        <v>1</v>
      </c>
      <c r="J17">
        <f ca="1">IF(I17=1,COUNTIF($J$2:$J17,1),"")</f>
        <v>0</v>
      </c>
      <c r="K17">
        <f ca="1">IFERROR(INDEX(FixedItem[Item], MATCH(ROWS($J$2:$J17),FixedItem[frequency3], 0)),"")</f>
        <v>0</v>
      </c>
    </row>
    <row r="18" spans="1:11">
      <c r="A18" t="s">
        <v>3227</v>
      </c>
      <c r="B18" s="9">
        <v>7.09</v>
      </c>
      <c r="C18">
        <v>0</v>
      </c>
      <c r="D18">
        <v>0</v>
      </c>
      <c r="E18" s="9">
        <v>0</v>
      </c>
      <c r="F18">
        <f>--ISNUMBER(SEARCH('RC Checklist'!$H$8,A18))</f>
        <v>1</v>
      </c>
      <c r="G18">
        <f>IF(F18=1,COUNTIF($F$2:$F18,1),"")</f>
        <v>17</v>
      </c>
      <c r="H18" t="str">
        <f>IFERROR(INDEX(FixedItem[Item], MATCH(ROWS($G$2:$G18),FixedItem[frequency], 0)),"")</f>
        <v>Cabinet knob or pull</v>
      </c>
      <c r="I18">
        <f>--ISNUMBER(SEARCH('RC Checklist'!$H$9,A18))</f>
        <v>1</v>
      </c>
      <c r="J18">
        <f ca="1">IF(I18=1,COUNTIF($J$2:$J18,1),"")</f>
        <v>0</v>
      </c>
      <c r="K18">
        <f ca="1">IFERROR(INDEX(FixedItem[Item], MATCH(ROWS($J$2:$J18),FixedItem[frequency3], 0)),"")</f>
        <v>0</v>
      </c>
    </row>
    <row r="19" spans="1:11">
      <c r="A19" t="s">
        <v>3179</v>
      </c>
      <c r="B19" s="9">
        <v>3.34</v>
      </c>
      <c r="C19">
        <v>0</v>
      </c>
      <c r="D19">
        <v>0</v>
      </c>
      <c r="E19" s="9">
        <v>0</v>
      </c>
      <c r="F19">
        <f>--ISNUMBER(SEARCH('RC Checklist'!$H$8,A19))</f>
        <v>0</v>
      </c>
      <c r="G19" t="str">
        <f>IF(F19=1,COUNTIF($F$2:$F19,1),"")</f>
        <v/>
      </c>
      <c r="H19" t="str">
        <f>IFERROR(INDEX(FixedItem[Item], MATCH(ROWS($G$2:$G19),FixedItem[frequency], 0)),"")</f>
        <v>Carpet pad</v>
      </c>
      <c r="I19">
        <f>--ISNUMBER(SEARCH('RC Checklist'!$H$9,A19))</f>
        <v>0</v>
      </c>
      <c r="J19" t="str">
        <f>IF(I19=1,COUNTIF($J$2:$J19,1),"")</f>
        <v/>
      </c>
      <c r="K19">
        <f ca="1">IFERROR(INDEX(FixedItem[Item], MATCH(ROWS($J$2:$J19),FixedItem[frequency3], 0)),"")</f>
        <v>0</v>
      </c>
    </row>
    <row r="20" spans="1:11">
      <c r="A20" t="s">
        <v>3178</v>
      </c>
      <c r="B20" s="9">
        <v>0.54</v>
      </c>
      <c r="C20">
        <v>0</v>
      </c>
      <c r="D20">
        <v>0</v>
      </c>
      <c r="E20" s="9">
        <v>0</v>
      </c>
      <c r="F20">
        <f>--ISNUMBER(SEARCH('RC Checklist'!$H$8,A20))</f>
        <v>1</v>
      </c>
      <c r="G20">
        <f>IF(F20=1,COUNTIF($F$2:$F20,1),"")</f>
        <v>18</v>
      </c>
      <c r="H20" t="str">
        <f>IFERROR(INDEX(FixedItem[Item], MATCH(ROWS($G$2:$G20),FixedItem[frequency], 0)),"")</f>
        <v>Casing - 2 1/4"</v>
      </c>
      <c r="I20">
        <f>--ISNUMBER(SEARCH('RC Checklist'!$H$9,A20))</f>
        <v>1</v>
      </c>
      <c r="J20">
        <f ca="1">IF(I20=1,COUNTIF($J$2:$J20,1),"")</f>
        <v>0</v>
      </c>
      <c r="K20">
        <f ca="1">IFERROR(INDEX(FixedItem[Item], MATCH(ROWS($J$2:$J20),FixedItem[frequency3], 0)),"")</f>
        <v>0</v>
      </c>
    </row>
    <row r="21" spans="1:11">
      <c r="A21" t="s">
        <v>3205</v>
      </c>
      <c r="B21" s="9">
        <v>1.59</v>
      </c>
      <c r="C21">
        <v>0</v>
      </c>
      <c r="D21">
        <v>0</v>
      </c>
      <c r="E21" s="9">
        <v>0</v>
      </c>
      <c r="F21">
        <f>--ISNUMBER(SEARCH('RC Checklist'!$H$8,A21))</f>
        <v>1</v>
      </c>
      <c r="G21">
        <f>IF(F21=1,COUNTIF($F$2:$F21,1),"")</f>
        <v>19</v>
      </c>
      <c r="H21" t="str">
        <f>IFERROR(INDEX(FixedItem[Item], MATCH(ROWS($G$2:$G21),FixedItem[frequency], 0)),"")</f>
        <v>Ceiling fan and light</v>
      </c>
      <c r="I21">
        <f>--ISNUMBER(SEARCH('RC Checklist'!$H$9,A21))</f>
        <v>1</v>
      </c>
      <c r="J21">
        <f ca="1">IF(I21=1,COUNTIF($J$2:$J21,1),"")</f>
        <v>0</v>
      </c>
      <c r="K21">
        <f ca="1">IFERROR(INDEX(FixedItem[Item], MATCH(ROWS($J$2:$J21),FixedItem[frequency3], 0)),"")</f>
        <v>0</v>
      </c>
    </row>
    <row r="22" spans="1:11">
      <c r="A22" t="s">
        <v>3190</v>
      </c>
      <c r="B22" s="9">
        <v>298.95</v>
      </c>
      <c r="C22">
        <v>0</v>
      </c>
      <c r="D22">
        <v>0</v>
      </c>
      <c r="E22" s="9">
        <v>0</v>
      </c>
      <c r="F22">
        <f>--ISNUMBER(SEARCH('RC Checklist'!$H$8,A22))</f>
        <v>1</v>
      </c>
      <c r="G22">
        <f>IF(F22=1,COUNTIF($F$2:$F22,1),"")</f>
        <v>20</v>
      </c>
      <c r="H22" t="str">
        <f>IFERROR(INDEX(FixedItem[Item], MATCH(ROWS($G$2:$G22),FixedItem[frequency], 0)),"")</f>
        <v>Ceiling fan without light</v>
      </c>
      <c r="I22">
        <f>--ISNUMBER(SEARCH('RC Checklist'!$H$9,A22))</f>
        <v>1</v>
      </c>
      <c r="J22">
        <f ca="1">IF(I22=1,COUNTIF($J$2:$J22,1),"")</f>
        <v>0</v>
      </c>
      <c r="K22">
        <f ca="1">IFERROR(INDEX(FixedItem[Item], MATCH(ROWS($J$2:$J22),FixedItem[frequency3], 0)),"")</f>
        <v>0</v>
      </c>
    </row>
    <row r="23" spans="1:11">
      <c r="A23" t="s">
        <v>3209</v>
      </c>
      <c r="B23" s="9">
        <v>215.52</v>
      </c>
      <c r="C23">
        <v>0</v>
      </c>
      <c r="D23">
        <v>0</v>
      </c>
      <c r="E23" s="9">
        <v>0</v>
      </c>
      <c r="F23">
        <f>--ISNUMBER(SEARCH('RC Checklist'!$H$8,A23))</f>
        <v>1</v>
      </c>
      <c r="G23">
        <f>IF(F23=1,COUNTIF($F$2:$F23,1),"")</f>
        <v>21</v>
      </c>
      <c r="H23" t="str">
        <f>IFERROR(INDEX(FixedItem[Item], MATCH(ROWS($G$2:$G23),FixedItem[frequency], 0)),"")</f>
        <v>Ceramic/Porcelain tie</v>
      </c>
      <c r="I23">
        <f>--ISNUMBER(SEARCH('RC Checklist'!$H$9,A23))</f>
        <v>1</v>
      </c>
      <c r="J23">
        <f ca="1">IF(I23=1,COUNTIF($J$2:$J23,1),"")</f>
        <v>0</v>
      </c>
      <c r="K23">
        <f ca="1">IFERROR(INDEX(FixedItem[Item], MATCH(ROWS($J$2:$J23),FixedItem[frequency3], 0)),"")</f>
        <v>0</v>
      </c>
    </row>
    <row r="24" spans="1:11">
      <c r="A24" t="s">
        <v>3210</v>
      </c>
      <c r="B24" s="9">
        <v>12.23</v>
      </c>
      <c r="C24">
        <v>0</v>
      </c>
      <c r="D24">
        <v>0</v>
      </c>
      <c r="E24" s="9">
        <v>0</v>
      </c>
      <c r="F24">
        <f>--ISNUMBER(SEARCH('RC Checklist'!$H$8,A24))</f>
        <v>1</v>
      </c>
      <c r="G24">
        <f>IF(F24=1,COUNTIF($F$2:$F24,1),"")</f>
        <v>22</v>
      </c>
      <c r="H24" t="str">
        <f>IFERROR(INDEX(FixedItem[Item], MATCH(ROWS($G$2:$G24),FixedItem[frequency], 0)),"")</f>
        <v>Countertop - Granite or Marble - Includes backsplash pieces</v>
      </c>
      <c r="I24">
        <f>--ISNUMBER(SEARCH('RC Checklist'!$H$9,A24))</f>
        <v>1</v>
      </c>
      <c r="J24">
        <f ca="1">IF(I24=1,COUNTIF($J$2:$J24,1),"")</f>
        <v>0</v>
      </c>
      <c r="K24">
        <f ca="1">IFERROR(INDEX(FixedItem[Item], MATCH(ROWS($J$2:$J24),FixedItem[frequency3], 0)),"")</f>
        <v>0</v>
      </c>
    </row>
    <row r="25" spans="1:11">
      <c r="A25" t="s">
        <v>3216</v>
      </c>
      <c r="B25" s="9">
        <v>52.51</v>
      </c>
      <c r="C25">
        <v>0</v>
      </c>
      <c r="D25">
        <v>0</v>
      </c>
      <c r="E25" s="9">
        <v>0</v>
      </c>
      <c r="F25">
        <f>--ISNUMBER(SEARCH('RC Checklist'!$H$8,A25))</f>
        <v>1</v>
      </c>
      <c r="G25">
        <f>IF(F25=1,COUNTIF($F$2:$F25,1),"")</f>
        <v>23</v>
      </c>
      <c r="H25" t="str">
        <f>IFERROR(INDEX(FixedItem[Item], MATCH(ROWS($G$2:$G25),FixedItem[frequency], 0)),"")</f>
        <v>Custom cabinets - base units</v>
      </c>
      <c r="I25">
        <f>--ISNUMBER(SEARCH('RC Checklist'!$H$9,A25))</f>
        <v>1</v>
      </c>
      <c r="J25">
        <f ca="1">IF(I25=1,COUNTIF($J$2:$J25,1),"")</f>
        <v>0</v>
      </c>
      <c r="K25">
        <f ca="1">IFERROR(INDEX(FixedItem[Item], MATCH(ROWS($J$2:$J25),FixedItem[frequency3], 0)),"")</f>
        <v>0</v>
      </c>
    </row>
    <row r="26" spans="1:11">
      <c r="A26" t="s">
        <v>3213</v>
      </c>
      <c r="B26" s="9">
        <v>206.19</v>
      </c>
      <c r="C26">
        <v>0</v>
      </c>
      <c r="D26">
        <v>0</v>
      </c>
      <c r="E26" s="9">
        <v>0</v>
      </c>
      <c r="F26">
        <f>--ISNUMBER(SEARCH('RC Checklist'!$H$8,A26))</f>
        <v>1</v>
      </c>
      <c r="G26">
        <f>IF(F26=1,COUNTIF($F$2:$F26,1),"")</f>
        <v>24</v>
      </c>
      <c r="H26" t="str">
        <f>IFERROR(INDEX(FixedItem[Item], MATCH(ROWS($G$2:$G26),FixedItem[frequency], 0)),"")</f>
        <v>Custom cabinets - wall units - 30"</v>
      </c>
      <c r="I26">
        <f>--ISNUMBER(SEARCH('RC Checklist'!$H$9,A26))</f>
        <v>1</v>
      </c>
      <c r="J26">
        <f ca="1">IF(I26=1,COUNTIF($J$2:$J26,1),"")</f>
        <v>0</v>
      </c>
      <c r="K26">
        <f ca="1">IFERROR(INDEX(FixedItem[Item], MATCH(ROWS($J$2:$J26),FixedItem[frequency3], 0)),"")</f>
        <v>0</v>
      </c>
    </row>
    <row r="27" spans="1:11">
      <c r="A27" t="s">
        <v>3226</v>
      </c>
      <c r="B27" s="9">
        <v>142.25</v>
      </c>
      <c r="C27">
        <v>0</v>
      </c>
      <c r="D27">
        <v>0</v>
      </c>
      <c r="E27" s="9">
        <v>0</v>
      </c>
      <c r="F27">
        <f>--ISNUMBER(SEARCH('RC Checklist'!$H$8,A27))</f>
        <v>1</v>
      </c>
      <c r="G27">
        <f>IF(F27=1,COUNTIF($F$2:$F27,1),"")</f>
        <v>25</v>
      </c>
      <c r="H27" t="str">
        <f>IFERROR(INDEX(FixedItem[Item], MATCH(ROWS($G$2:$G27),FixedItem[frequency], 0)),"")</f>
        <v>Detach &amp; Reset gutter / downspout - aluminum - up to 5"</v>
      </c>
      <c r="I27">
        <f>--ISNUMBER(SEARCH('RC Checklist'!$H$9,A27))</f>
        <v>1</v>
      </c>
      <c r="J27">
        <f ca="1">IF(I27=1,COUNTIF($J$2:$J27,1),"")</f>
        <v>0</v>
      </c>
      <c r="K27">
        <f ca="1">IFERROR(INDEX(FixedItem[Item], MATCH(ROWS($J$2:$J27),FixedItem[frequency3], 0)),"")</f>
        <v>0</v>
      </c>
    </row>
    <row r="28" spans="1:11">
      <c r="A28" t="s">
        <v>3244</v>
      </c>
      <c r="B28" s="9">
        <v>2.86</v>
      </c>
      <c r="C28">
        <v>0</v>
      </c>
      <c r="D28">
        <v>0</v>
      </c>
      <c r="E28" s="9">
        <v>0</v>
      </c>
      <c r="F28">
        <f>--ISNUMBER(SEARCH('RC Checklist'!$H$8,A28))</f>
        <v>1</v>
      </c>
      <c r="G28">
        <f>IF(F28=1,COUNTIF($F$2:$F28,1),"")</f>
        <v>26</v>
      </c>
      <c r="H28" t="str">
        <f>IFERROR(INDEX(FixedItem[Item], MATCH(ROWS($G$2:$G28),FixedItem[frequency], 0)),"")</f>
        <v>Door Lockset - Detach &amp; reset</v>
      </c>
      <c r="I28">
        <f>--ISNUMBER(SEARCH('RC Checklist'!$H$9,A28))</f>
        <v>1</v>
      </c>
      <c r="J28">
        <f ca="1">IF(I28=1,COUNTIF($J$2:$J28,1),"")</f>
        <v>0</v>
      </c>
      <c r="K28">
        <f ca="1">IFERROR(INDEX(FixedItem[Item], MATCH(ROWS($J$2:$J28),FixedItem[frequency3], 0)),"")</f>
        <v>0</v>
      </c>
    </row>
    <row r="29" spans="1:11">
      <c r="A29" t="s">
        <v>3231</v>
      </c>
      <c r="B29" s="9">
        <v>628.66999999999996</v>
      </c>
      <c r="C29">
        <v>0</v>
      </c>
      <c r="D29">
        <v>0</v>
      </c>
      <c r="E29" s="9">
        <v>0</v>
      </c>
      <c r="F29">
        <f>--ISNUMBER(SEARCH('RC Checklist'!$H$8,A29))</f>
        <v>0</v>
      </c>
      <c r="G29" t="str">
        <f>IF(F29=1,COUNTIF($F$2:$F29,1),"")</f>
        <v/>
      </c>
      <c r="H29" t="str">
        <f>IFERROR(INDEX(FixedItem[Item], MATCH(ROWS($G$2:$G29),FixedItem[frequency], 0)),"")</f>
        <v>Door Opening (jamb and casing) - 32"-36" wide - paint grade</v>
      </c>
      <c r="I29">
        <f>--ISNUMBER(SEARCH('RC Checklist'!$H$9,A29))</f>
        <v>0</v>
      </c>
      <c r="J29" t="str">
        <f>IF(I29=1,COUNTIF($J$2:$J29,1),"")</f>
        <v/>
      </c>
      <c r="K29">
        <f ca="1">IFERROR(INDEX(FixedItem[Item], MATCH(ROWS($J$2:$J29),FixedItem[frequency3], 0)),"")</f>
        <v>0</v>
      </c>
    </row>
    <row r="30" spans="1:11">
      <c r="A30" t="s">
        <v>3181</v>
      </c>
      <c r="B30" s="9">
        <v>17.989999999999998</v>
      </c>
      <c r="C30">
        <v>0</v>
      </c>
      <c r="D30">
        <v>0</v>
      </c>
      <c r="E30" s="9">
        <v>0</v>
      </c>
      <c r="F30">
        <f>--ISNUMBER(SEARCH('RC Checklist'!$H$8,A30))</f>
        <v>1</v>
      </c>
      <c r="G30">
        <f>IF(F30=1,COUNTIF($F$2:$F30,1),"")</f>
        <v>27</v>
      </c>
      <c r="H30" t="str">
        <f>IFERROR(INDEX(FixedItem[Item], MATCH(ROWS($G$2:$G30),FixedItem[frequency], 0)),"")</f>
        <v>Dryer - Remove and reset</v>
      </c>
      <c r="I30">
        <f>--ISNUMBER(SEARCH('RC Checklist'!$H$9,A30))</f>
        <v>1</v>
      </c>
      <c r="J30">
        <f ca="1">IF(I30=1,COUNTIF($J$2:$J30,1),"")</f>
        <v>0</v>
      </c>
      <c r="K30">
        <f ca="1">IFERROR(INDEX(FixedItem[Item], MATCH(ROWS($J$2:$J30),FixedItem[frequency3], 0)),"")</f>
        <v>0</v>
      </c>
    </row>
    <row r="31" spans="1:11">
      <c r="A31" t="s">
        <v>3173</v>
      </c>
      <c r="B31" s="9">
        <v>92.93</v>
      </c>
      <c r="C31">
        <v>0</v>
      </c>
      <c r="D31">
        <v>0</v>
      </c>
      <c r="E31" s="9">
        <v>0</v>
      </c>
      <c r="F31">
        <f>--ISNUMBER(SEARCH('RC Checklist'!$H$8,A31))</f>
        <v>1</v>
      </c>
      <c r="G31">
        <f>IF(F31=1,COUNTIF($F$2:$F31,1),"")</f>
        <v>28</v>
      </c>
      <c r="H31" t="str">
        <f>IFERROR(INDEX(FixedItem[Item], MATCH(ROWS($G$2:$G31),FixedItem[frequency], 0)),"")</f>
        <v>Dumpster Load - Approx. 20 yards, 4 tons of debris</v>
      </c>
      <c r="I31">
        <f>--ISNUMBER(SEARCH('RC Checklist'!$H$9,A31))</f>
        <v>1</v>
      </c>
      <c r="J31">
        <f ca="1">IF(I31=1,COUNTIF($J$2:$J31,1),"")</f>
        <v>0</v>
      </c>
      <c r="K31">
        <f ca="1">IFERROR(INDEX(FixedItem[Item], MATCH(ROWS($J$2:$J31),FixedItem[frequency3], 0)),"")</f>
        <v>0</v>
      </c>
    </row>
    <row r="32" spans="1:11">
      <c r="A32" t="s">
        <v>3203</v>
      </c>
      <c r="B32" s="9">
        <v>27.77</v>
      </c>
      <c r="C32">
        <v>0</v>
      </c>
      <c r="D32">
        <v>0</v>
      </c>
      <c r="E32" s="9">
        <v>0</v>
      </c>
      <c r="F32">
        <f>--ISNUMBER(SEARCH('RC Checklist'!$H$8,A32))</f>
        <v>1</v>
      </c>
      <c r="G32">
        <f>IF(F32=1,COUNTIF($F$2:$F32,1),"")</f>
        <v>29</v>
      </c>
      <c r="H32" t="str">
        <f>IFERROR(INDEX(FixedItem[Item], MATCH(ROWS($G$2:$G32),FixedItem[frequency], 0)),"")</f>
        <v>Final Cleaning - Construction - Residential</v>
      </c>
      <c r="I32">
        <f>--ISNUMBER(SEARCH('RC Checklist'!$H$9,A32))</f>
        <v>1</v>
      </c>
      <c r="J32">
        <f ca="1">IF(I32=1,COUNTIF($J$2:$J32,1),"")</f>
        <v>0</v>
      </c>
      <c r="K32">
        <f ca="1">IFERROR(INDEX(FixedItem[Item], MATCH(ROWS($J$2:$J32),FixedItem[frequency3], 0)),"")</f>
        <v>0</v>
      </c>
    </row>
    <row r="33" spans="1:11">
      <c r="A33" t="s">
        <v>3194</v>
      </c>
      <c r="B33" s="9">
        <v>558</v>
      </c>
      <c r="C33">
        <v>0</v>
      </c>
      <c r="D33">
        <v>0</v>
      </c>
      <c r="E33" s="9">
        <v>0</v>
      </c>
      <c r="F33">
        <f>--ISNUMBER(SEARCH('RC Checklist'!$H$8,A33))</f>
        <v>1</v>
      </c>
      <c r="G33">
        <f>IF(F33=1,COUNTIF($F$2:$F33,1),"")</f>
        <v>30</v>
      </c>
      <c r="H33" t="str">
        <f>IFERROR(INDEX(FixedItem[Item], MATCH(ROWS($G$2:$G33),FixedItem[frequency], 0)),"")</f>
        <v>Flashing - L flashing - galvanized</v>
      </c>
      <c r="I33">
        <f>--ISNUMBER(SEARCH('RC Checklist'!$H$9,A33))</f>
        <v>1</v>
      </c>
      <c r="J33">
        <f ca="1">IF(I33=1,COUNTIF($J$2:$J33,1),"")</f>
        <v>0</v>
      </c>
      <c r="K33">
        <f ca="1">IFERROR(INDEX(FixedItem[Item], MATCH(ROWS($J$2:$J33),FixedItem[frequency3], 0)),"")</f>
        <v>0</v>
      </c>
    </row>
    <row r="34" spans="1:11">
      <c r="A34" t="s">
        <v>3219</v>
      </c>
      <c r="B34" s="9">
        <v>0.25</v>
      </c>
      <c r="C34">
        <v>0</v>
      </c>
      <c r="D34">
        <v>0</v>
      </c>
      <c r="E34" s="9">
        <v>0</v>
      </c>
      <c r="F34">
        <f>--ISNUMBER(SEARCH('RC Checklist'!$H$8,A34))</f>
        <v>1</v>
      </c>
      <c r="G34">
        <f>IF(F34=1,COUNTIF($F$2:$F34,1),"")</f>
        <v>31</v>
      </c>
      <c r="H34" t="str">
        <f>IFERROR(INDEX(FixedItem[Item], MATCH(ROWS($G$2:$G34),FixedItem[frequency], 0)),"")</f>
        <v>Floor preperation for resiliant flooring</v>
      </c>
      <c r="I34">
        <f>--ISNUMBER(SEARCH('RC Checklist'!$H$9,A34))</f>
        <v>1</v>
      </c>
      <c r="J34">
        <f ca="1">IF(I34=1,COUNTIF($J$2:$J34,1),"")</f>
        <v>0</v>
      </c>
      <c r="K34">
        <f ca="1">IFERROR(INDEX(FixedItem[Item], MATCH(ROWS($J$2:$J34),FixedItem[frequency3], 0)),"")</f>
        <v>0</v>
      </c>
    </row>
    <row r="35" spans="1:11">
      <c r="A35" t="s">
        <v>3243</v>
      </c>
      <c r="B35" s="9">
        <v>4.25</v>
      </c>
      <c r="C35">
        <v>0</v>
      </c>
      <c r="D35">
        <v>0</v>
      </c>
      <c r="E35" s="9">
        <v>0</v>
      </c>
      <c r="F35">
        <f>--ISNUMBER(SEARCH('RC Checklist'!$H$8,A35))</f>
        <v>1</v>
      </c>
      <c r="G35">
        <f>IF(F35=1,COUNTIF($F$2:$F35,1),"")</f>
        <v>32</v>
      </c>
      <c r="H35" t="str">
        <f>IFERROR(INDEX(FixedItem[Item], MATCH(ROWS($G$2:$G35),FixedItem[frequency], 0)),"")</f>
        <v>Garbage disposer</v>
      </c>
      <c r="I35">
        <f>--ISNUMBER(SEARCH('RC Checklist'!$H$9,A35))</f>
        <v>1</v>
      </c>
      <c r="J35">
        <f ca="1">IF(I35=1,COUNTIF($J$2:$J35,1),"")</f>
        <v>0</v>
      </c>
      <c r="K35">
        <f ca="1">IFERROR(INDEX(FixedItem[Item], MATCH(ROWS($J$2:$J35),FixedItem[frequency3], 0)),"")</f>
        <v>0</v>
      </c>
    </row>
    <row r="36" spans="1:11">
      <c r="A36" t="s">
        <v>3224</v>
      </c>
      <c r="B36" s="9">
        <v>0.62</v>
      </c>
      <c r="C36">
        <v>0</v>
      </c>
      <c r="D36">
        <v>0</v>
      </c>
      <c r="E36" s="9">
        <v>0</v>
      </c>
      <c r="F36">
        <f>--ISNUMBER(SEARCH('RC Checklist'!$H$8,A36))</f>
        <v>1</v>
      </c>
      <c r="G36">
        <f>IF(F36=1,COUNTIF($F$2:$F36,1),"")</f>
        <v>33</v>
      </c>
      <c r="H36" t="str">
        <f>IFERROR(INDEX(FixedItem[Item], MATCH(ROWS($G$2:$G36),FixedItem[frequency], 0)),"")</f>
        <v>Hanging light fixture</v>
      </c>
      <c r="I36">
        <f>--ISNUMBER(SEARCH('RC Checklist'!$H$9,A36))</f>
        <v>1</v>
      </c>
      <c r="J36">
        <f ca="1">IF(I36=1,COUNTIF($J$2:$J36,1),"")</f>
        <v>0</v>
      </c>
      <c r="K36">
        <f ca="1">IFERROR(INDEX(FixedItem[Item], MATCH(ROWS($J$2:$J36),FixedItem[frequency3], 0)),"")</f>
        <v>0</v>
      </c>
    </row>
    <row r="37" spans="1:11">
      <c r="A37" t="s">
        <v>3230</v>
      </c>
      <c r="B37" s="9">
        <v>262.33</v>
      </c>
      <c r="C37">
        <v>0</v>
      </c>
      <c r="D37">
        <v>0</v>
      </c>
      <c r="E37" s="9">
        <v>0</v>
      </c>
      <c r="F37">
        <f>--ISNUMBER(SEARCH('RC Checklist'!$H$8,A37))</f>
        <v>1</v>
      </c>
      <c r="G37">
        <f>IF(F37=1,COUNTIF($F$2:$F37,1),"")</f>
        <v>34</v>
      </c>
      <c r="H37" t="str">
        <f>IFERROR(INDEX(FixedItem[Item], MATCH(ROWS($G$2:$G37),FixedItem[frequency], 0)),"")</f>
        <v>Heat/AC register - Mechanically attached</v>
      </c>
      <c r="I37">
        <f>--ISNUMBER(SEARCH('RC Checklist'!$H$9,A37))</f>
        <v>1</v>
      </c>
      <c r="J37">
        <f ca="1">IF(I37=1,COUNTIF($J$2:$J37,1),"")</f>
        <v>0</v>
      </c>
      <c r="K37">
        <f ca="1">IFERROR(INDEX(FixedItem[Item], MATCH(ROWS($J$2:$J37),FixedItem[frequency3], 0)),"")</f>
        <v>0</v>
      </c>
    </row>
    <row r="38" spans="1:11">
      <c r="A38" t="s">
        <v>3208</v>
      </c>
      <c r="B38" s="9">
        <v>75.41</v>
      </c>
      <c r="C38">
        <v>0</v>
      </c>
      <c r="D38">
        <v>0</v>
      </c>
      <c r="E38" s="9">
        <v>0</v>
      </c>
      <c r="F38">
        <f>--ISNUMBER(SEARCH('RC Checklist'!$H$8,A38))</f>
        <v>1</v>
      </c>
      <c r="G38">
        <f>IF(F38=1,COUNTIF($F$2:$F38,1),"")</f>
        <v>35</v>
      </c>
      <c r="H38" t="str">
        <f>IFERROR(INDEX(FixedItem[Item], MATCH(ROWS($G$2:$G38),FixedItem[frequency], 0)),"")</f>
        <v>Install Bypass (sliding) door set - Colonist</v>
      </c>
      <c r="I38">
        <f>--ISNUMBER(SEARCH('RC Checklist'!$H$9,A38))</f>
        <v>1</v>
      </c>
      <c r="J38">
        <f ca="1">IF(I38=1,COUNTIF($J$2:$J38,1),"")</f>
        <v>0</v>
      </c>
      <c r="K38">
        <f ca="1">IFERROR(INDEX(FixedItem[Item], MATCH(ROWS($J$2:$J38),FixedItem[frequency3], 0)),"")</f>
        <v>0</v>
      </c>
    </row>
    <row r="39" spans="1:11">
      <c r="A39" t="s">
        <v>3200</v>
      </c>
      <c r="B39" s="9">
        <v>25.58</v>
      </c>
      <c r="C39">
        <v>0</v>
      </c>
      <c r="D39">
        <v>0</v>
      </c>
      <c r="E39" s="9">
        <v>0</v>
      </c>
      <c r="F39">
        <f>--ISNUMBER(SEARCH('RC Checklist'!$H$8,A39))</f>
        <v>1</v>
      </c>
      <c r="G39">
        <f>IF(F39=1,COUNTIF($F$2:$F39,1),"")</f>
        <v>36</v>
      </c>
      <c r="H39" t="str">
        <f>IFERROR(INDEX(FixedItem[Item], MATCH(ROWS($G$2:$G39),FixedItem[frequency], 0)),"")</f>
        <v>Install Range - Freestanding - electric</v>
      </c>
      <c r="I39">
        <f>--ISNUMBER(SEARCH('RC Checklist'!$H$9,A39))</f>
        <v>1</v>
      </c>
      <c r="J39">
        <f ca="1">IF(I39=1,COUNTIF($J$2:$J39,1),"")</f>
        <v>0</v>
      </c>
      <c r="K39">
        <f ca="1">IFERROR(INDEX(FixedItem[Item], MATCH(ROWS($J$2:$J39),FixedItem[frequency3], 0)),"")</f>
        <v>0</v>
      </c>
    </row>
    <row r="40" spans="1:11">
      <c r="A40" t="s">
        <v>3201</v>
      </c>
      <c r="B40" s="9">
        <v>48.77</v>
      </c>
      <c r="C40">
        <v>0</v>
      </c>
      <c r="D40">
        <v>0</v>
      </c>
      <c r="E40" s="9">
        <v>0</v>
      </c>
      <c r="F40">
        <f>--ISNUMBER(SEARCH('RC Checklist'!$H$8,A40))</f>
        <v>1</v>
      </c>
      <c r="G40">
        <f>IF(F40=1,COUNTIF($F$2:$F40,1),"")</f>
        <v>37</v>
      </c>
      <c r="H40" t="str">
        <f>IFERROR(INDEX(FixedItem[Item], MATCH(ROWS($G$2:$G40),FixedItem[frequency], 0)),"")</f>
        <v>Install Refrigerator - top freezer - 14 to 18 cf</v>
      </c>
      <c r="I40">
        <f>--ISNUMBER(SEARCH('RC Checklist'!$H$9,A40))</f>
        <v>1</v>
      </c>
      <c r="J40">
        <f ca="1">IF(I40=1,COUNTIF($J$2:$J40,1),"")</f>
        <v>0</v>
      </c>
      <c r="K40">
        <f ca="1">IFERROR(INDEX(FixedItem[Item], MATCH(ROWS($J$2:$J40),FixedItem[frequency3], 0)),"")</f>
        <v>0</v>
      </c>
    </row>
    <row r="41" spans="1:11">
      <c r="A41" t="s">
        <v>3237</v>
      </c>
      <c r="B41" s="9">
        <v>65.84</v>
      </c>
      <c r="C41">
        <v>0</v>
      </c>
      <c r="D41">
        <v>0</v>
      </c>
      <c r="E41" s="9">
        <v>0</v>
      </c>
      <c r="F41">
        <f>--ISNUMBER(SEARCH('RC Checklist'!$H$8,A41))</f>
        <v>1</v>
      </c>
      <c r="G41">
        <f>IF(F41=1,COUNTIF($F$2:$F41,1),"")</f>
        <v>38</v>
      </c>
      <c r="H41" t="str">
        <f>IFERROR(INDEX(FixedItem[Item], MATCH(ROWS($G$2:$G41),FixedItem[frequency], 0)),"")</f>
        <v>Insulation - urethane board, 1"</v>
      </c>
      <c r="I41">
        <f>--ISNUMBER(SEARCH('RC Checklist'!$H$9,A41))</f>
        <v>1</v>
      </c>
      <c r="J41">
        <f ca="1">IF(I41=1,COUNTIF($J$2:$J41,1),"")</f>
        <v>0</v>
      </c>
      <c r="K41">
        <f ca="1">IFERROR(INDEX(FixedItem[Item], MATCH(ROWS($J$2:$J41),FixedItem[frequency3], 0)),"")</f>
        <v>0</v>
      </c>
    </row>
    <row r="42" spans="1:11">
      <c r="A42" t="s">
        <v>3238</v>
      </c>
      <c r="B42" s="9">
        <v>20.010000000000002</v>
      </c>
      <c r="C42">
        <v>0</v>
      </c>
      <c r="D42">
        <v>0</v>
      </c>
      <c r="E42" s="9">
        <v>0</v>
      </c>
      <c r="F42">
        <f>--ISNUMBER(SEARCH('RC Checklist'!$H$8,A42))</f>
        <v>1</v>
      </c>
      <c r="G42">
        <f>IF(F42=1,COUNTIF($F$2:$F42,1),"")</f>
        <v>39</v>
      </c>
      <c r="H42" t="str">
        <f>IFERROR(INDEX(FixedItem[Item], MATCH(ROWS($G$2:$G42),FixedItem[frequency], 0)),"")</f>
        <v>Interior door unit</v>
      </c>
      <c r="I42">
        <f>--ISNUMBER(SEARCH('RC Checklist'!$H$9,A42))</f>
        <v>1</v>
      </c>
      <c r="J42">
        <f ca="1">IF(I42=1,COUNTIF($J$2:$J42,1),"")</f>
        <v>0</v>
      </c>
      <c r="K42">
        <f ca="1">IFERROR(INDEX(FixedItem[Item], MATCH(ROWS($J$2:$J42),FixedItem[frequency3], 0)),"")</f>
        <v>0</v>
      </c>
    </row>
    <row r="43" spans="1:11">
      <c r="A43" t="s">
        <v>3241</v>
      </c>
      <c r="B43" s="9">
        <v>192.75</v>
      </c>
      <c r="C43">
        <v>0</v>
      </c>
      <c r="D43">
        <v>0</v>
      </c>
      <c r="E43" s="9">
        <v>0</v>
      </c>
      <c r="F43">
        <f>--ISNUMBER(SEARCH('RC Checklist'!$H$8,A43))</f>
        <v>1</v>
      </c>
      <c r="G43">
        <f>IF(F43=1,COUNTIF($F$2:$F43,1),"")</f>
        <v>40</v>
      </c>
      <c r="H43" t="str">
        <f>IFERROR(INDEX(FixedItem[Item], MATCH(ROWS($G$2:$G43),FixedItem[frequency], 0)),"")</f>
        <v>Kitchen sink - single basin</v>
      </c>
      <c r="I43">
        <f>--ISNUMBER(SEARCH('RC Checklist'!$H$9,A43))</f>
        <v>1</v>
      </c>
      <c r="J43">
        <f ca="1">IF(I43=1,COUNTIF($J$2:$J43,1),"")</f>
        <v>0</v>
      </c>
      <c r="K43">
        <f ca="1">IFERROR(INDEX(FixedItem[Item], MATCH(ROWS($J$2:$J43),FixedItem[frequency3], 0)),"")</f>
        <v>0</v>
      </c>
    </row>
    <row r="44" spans="1:11">
      <c r="A44" t="s">
        <v>3180</v>
      </c>
      <c r="B44" s="9">
        <v>160.76</v>
      </c>
      <c r="C44">
        <v>0</v>
      </c>
      <c r="D44">
        <v>0</v>
      </c>
      <c r="E44" s="9">
        <v>0</v>
      </c>
      <c r="F44">
        <f>--ISNUMBER(SEARCH('RC Checklist'!$H$8,A44))</f>
        <v>1</v>
      </c>
      <c r="G44">
        <f>IF(F44=1,COUNTIF($F$2:$F44,1),"")</f>
        <v>41</v>
      </c>
      <c r="H44" t="str">
        <f>IFERROR(INDEX(FixedItem[Item], MATCH(ROWS($G$2:$G44),FixedItem[frequency], 0)),"")</f>
        <v>Light fixture</v>
      </c>
      <c r="I44">
        <f>--ISNUMBER(SEARCH('RC Checklist'!$H$9,A44))</f>
        <v>1</v>
      </c>
      <c r="J44">
        <f ca="1">IF(I44=1,COUNTIF($J$2:$J44,1),"")</f>
        <v>0</v>
      </c>
      <c r="K44">
        <f ca="1">IFERROR(INDEX(FixedItem[Item], MATCH(ROWS($J$2:$J44),FixedItem[frequency3], 0)),"")</f>
        <v>0</v>
      </c>
    </row>
    <row r="45" spans="1:11">
      <c r="A45" t="s">
        <v>3228</v>
      </c>
      <c r="B45" s="9">
        <v>326.93</v>
      </c>
      <c r="C45">
        <v>0</v>
      </c>
      <c r="D45">
        <v>0</v>
      </c>
      <c r="E45" s="9">
        <v>0</v>
      </c>
      <c r="F45">
        <f>--ISNUMBER(SEARCH('RC Checklist'!$H$8,A45))</f>
        <v>1</v>
      </c>
      <c r="G45">
        <f>IF(F45=1,COUNTIF($F$2:$F45,1),"")</f>
        <v>42</v>
      </c>
      <c r="H45" t="str">
        <f>IFERROR(INDEX(FixedItem[Item], MATCH(ROWS($G$2:$G45),FixedItem[frequency], 0)),"")</f>
        <v>Megohmmeter check electrical circuits - average residence</v>
      </c>
      <c r="I45">
        <f>--ISNUMBER(SEARCH('RC Checklist'!$H$9,A45))</f>
        <v>1</v>
      </c>
      <c r="J45">
        <f ca="1">IF(I45=1,COUNTIF($J$2:$J45,1),"")</f>
        <v>0</v>
      </c>
      <c r="K45">
        <f ca="1">IFERROR(INDEX(FixedItem[Item], MATCH(ROWS($J$2:$J45),FixedItem[frequency3], 0)),"")</f>
        <v>0</v>
      </c>
    </row>
    <row r="46" spans="1:11">
      <c r="A46" t="s">
        <v>3186</v>
      </c>
      <c r="B46" s="9">
        <v>67.42</v>
      </c>
      <c r="C46">
        <v>0</v>
      </c>
      <c r="D46">
        <v>0</v>
      </c>
      <c r="E46" s="9">
        <v>0</v>
      </c>
      <c r="F46">
        <f>--ISNUMBER(SEARCH('RC Checklist'!$H$8,A46))</f>
        <v>1</v>
      </c>
      <c r="G46">
        <f>IF(F46=1,COUNTIF($F$2:$F46,1),"")</f>
        <v>43</v>
      </c>
      <c r="H46" t="str">
        <f>IFERROR(INDEX(FixedItem[Item], MATCH(ROWS($G$2:$G46),FixedItem[frequency], 0)),"")</f>
        <v>Mortor bed for tile</v>
      </c>
      <c r="I46">
        <f>--ISNUMBER(SEARCH('RC Checklist'!$H$9,A46))</f>
        <v>1</v>
      </c>
      <c r="J46">
        <f ca="1">IF(I46=1,COUNTIF($J$2:$J46,1),"")</f>
        <v>0</v>
      </c>
      <c r="K46">
        <f ca="1">IFERROR(INDEX(FixedItem[Item], MATCH(ROWS($J$2:$J46),FixedItem[frequency3], 0)),"")</f>
        <v>0</v>
      </c>
    </row>
    <row r="47" spans="1:11">
      <c r="A47" t="s">
        <v>3195</v>
      </c>
      <c r="B47" s="9">
        <v>732.08</v>
      </c>
      <c r="C47">
        <v>0</v>
      </c>
      <c r="D47">
        <v>0</v>
      </c>
      <c r="E47" s="9">
        <v>0</v>
      </c>
      <c r="F47">
        <f>--ISNUMBER(SEARCH('RC Checklist'!$H$8,A47))</f>
        <v>1</v>
      </c>
      <c r="G47">
        <f>IF(F47=1,COUNTIF($F$2:$F47,1),"")</f>
        <v>44</v>
      </c>
      <c r="H47" t="str">
        <f>IFERROR(INDEX(FixedItem[Item], MATCH(ROWS($G$2:$G47),FixedItem[frequency], 0)),"")</f>
        <v>Mortor bed for tile floors</v>
      </c>
      <c r="I47">
        <f>--ISNUMBER(SEARCH('RC Checklist'!$H$9,A47))</f>
        <v>1</v>
      </c>
      <c r="J47">
        <f ca="1">IF(I47=1,COUNTIF($J$2:$J47,1),"")</f>
        <v>0</v>
      </c>
      <c r="K47">
        <f ca="1">IFERROR(INDEX(FixedItem[Item], MATCH(ROWS($J$2:$J47),FixedItem[frequency3], 0)),"")</f>
        <v>0</v>
      </c>
    </row>
    <row r="48" spans="1:11">
      <c r="A48" t="s">
        <v>3211</v>
      </c>
      <c r="B48" s="9">
        <v>7.23</v>
      </c>
      <c r="C48">
        <v>0</v>
      </c>
      <c r="D48">
        <v>0</v>
      </c>
      <c r="E48" s="9">
        <v>0</v>
      </c>
      <c r="F48">
        <f>--ISNUMBER(SEARCH('RC Checklist'!$H$8,A48))</f>
        <v>1</v>
      </c>
      <c r="G48">
        <f>IF(F48=1,COUNTIF($F$2:$F48,1),"")</f>
        <v>45</v>
      </c>
      <c r="H48" t="str">
        <f>IFERROR(INDEX(FixedItem[Item], MATCH(ROWS($G$2:$G48),FixedItem[frequency], 0)),"")</f>
        <v>Oak Flooring - #1 common - no finsh</v>
      </c>
      <c r="I48">
        <f>--ISNUMBER(SEARCH('RC Checklist'!$H$9,A48))</f>
        <v>1</v>
      </c>
      <c r="J48">
        <f ca="1">IF(I48=1,COUNTIF($J$2:$J48,1),"")</f>
        <v>0</v>
      </c>
      <c r="K48">
        <f ca="1">IFERROR(INDEX(FixedItem[Item], MATCH(ROWS($J$2:$J48),FixedItem[frequency3], 0)),"")</f>
        <v>0</v>
      </c>
    </row>
    <row r="49" spans="1:11">
      <c r="A49" t="s">
        <v>3235</v>
      </c>
      <c r="B49" s="9">
        <v>4.95</v>
      </c>
      <c r="C49">
        <v>0</v>
      </c>
      <c r="D49">
        <v>0</v>
      </c>
      <c r="E49" s="9">
        <v>0</v>
      </c>
      <c r="F49">
        <f>--ISNUMBER(SEARCH('RC Checklist'!$H$8,A49))</f>
        <v>1</v>
      </c>
      <c r="G49">
        <f>IF(F49=1,COUNTIF($F$2:$F49,1),"")</f>
        <v>46</v>
      </c>
      <c r="H49" t="str">
        <f>IFERROR(INDEX(FixedItem[Item], MATCH(ROWS($G$2:$G49),FixedItem[frequency], 0)),"")</f>
        <v>Outlet or switch cover</v>
      </c>
      <c r="I49">
        <f>--ISNUMBER(SEARCH('RC Checklist'!$H$9,A49))</f>
        <v>1</v>
      </c>
      <c r="J49">
        <f ca="1">IF(I49=1,COUNTIF($J$2:$J49,1),"")</f>
        <v>0</v>
      </c>
      <c r="K49">
        <f ca="1">IFERROR(INDEX(FixedItem[Item], MATCH(ROWS($J$2:$J49),FixedItem[frequency3], 0)),"")</f>
        <v>0</v>
      </c>
    </row>
    <row r="50" spans="1:11">
      <c r="A50" t="s">
        <v>3198</v>
      </c>
      <c r="B50" s="9">
        <v>7.74</v>
      </c>
      <c r="C50">
        <v>0</v>
      </c>
      <c r="D50">
        <v>0</v>
      </c>
      <c r="E50" s="9">
        <v>0</v>
      </c>
      <c r="F50">
        <f>--ISNUMBER(SEARCH('RC Checklist'!$H$8,A50))</f>
        <v>1</v>
      </c>
      <c r="G50">
        <f>IF(F50=1,COUNTIF($F$2:$F50,1),"")</f>
        <v>47</v>
      </c>
      <c r="H50" t="str">
        <f>IFERROR(INDEX(FixedItem[Item], MATCH(ROWS($G$2:$G50),FixedItem[frequency], 0)),"")</f>
        <v>Paint door or window opening - 2 coats (per side)</v>
      </c>
      <c r="I50">
        <f>--ISNUMBER(SEARCH('RC Checklist'!$H$9,A50))</f>
        <v>1</v>
      </c>
      <c r="J50">
        <f ca="1">IF(I50=1,COUNTIF($J$2:$J50,1),"")</f>
        <v>0</v>
      </c>
      <c r="K50">
        <f ca="1">IFERROR(INDEX(FixedItem[Item], MATCH(ROWS($J$2:$J50),FixedItem[frequency3], 0)),"")</f>
        <v>0</v>
      </c>
    </row>
    <row r="51" spans="1:11">
      <c r="A51" t="s">
        <v>3192</v>
      </c>
      <c r="B51" s="9">
        <v>2.5299999999999998</v>
      </c>
      <c r="C51">
        <v>0</v>
      </c>
      <c r="D51">
        <v>0</v>
      </c>
      <c r="E51" s="9">
        <v>0</v>
      </c>
      <c r="F51">
        <f>--ISNUMBER(SEARCH('RC Checklist'!$H$8,A51))</f>
        <v>1</v>
      </c>
      <c r="G51">
        <f>IF(F51=1,COUNTIF($F$2:$F51,1),"")</f>
        <v>48</v>
      </c>
      <c r="H51" t="str">
        <f>IFERROR(INDEX(FixedItem[Item], MATCH(ROWS($G$2:$G51),FixedItem[frequency], 0)),"")</f>
        <v>R&amp;R Drip Egde</v>
      </c>
      <c r="I51">
        <f>--ISNUMBER(SEARCH('RC Checklist'!$H$9,A51))</f>
        <v>1</v>
      </c>
      <c r="J51">
        <f ca="1">IF(I51=1,COUNTIF($J$2:$J51,1),"")</f>
        <v>0</v>
      </c>
      <c r="K51">
        <f ca="1">IFERROR(INDEX(FixedItem[Item], MATCH(ROWS($J$2:$J51),FixedItem[frequency3], 0)),"")</f>
        <v>0</v>
      </c>
    </row>
    <row r="52" spans="1:11">
      <c r="A52" t="s">
        <v>3175</v>
      </c>
      <c r="B52" s="9">
        <v>27.36</v>
      </c>
      <c r="C52">
        <v>0</v>
      </c>
      <c r="D52">
        <v>0</v>
      </c>
      <c r="E52" s="9">
        <v>0</v>
      </c>
      <c r="F52">
        <f>--ISNUMBER(SEARCH('RC Checklist'!$H$8,A52))</f>
        <v>1</v>
      </c>
      <c r="G52">
        <f>IF(F52=1,COUNTIF($F$2:$F52,1),"")</f>
        <v>49</v>
      </c>
      <c r="H52" t="str">
        <f>IFERROR(INDEX(FixedItem[Item], MATCH(ROWS($G$2:$G52),FixedItem[frequency], 0)),"")</f>
        <v>Recessed lighting fixture</v>
      </c>
      <c r="I52">
        <f>--ISNUMBER(SEARCH('RC Checklist'!$H$9,A52))</f>
        <v>1</v>
      </c>
      <c r="J52">
        <f ca="1">IF(I52=1,COUNTIF($J$2:$J52,1),"")</f>
        <v>0</v>
      </c>
      <c r="K52">
        <f ca="1">IFERROR(INDEX(FixedItem[Item], MATCH(ROWS($J$2:$J52),FixedItem[frequency3], 0)),"")</f>
        <v>0</v>
      </c>
    </row>
    <row r="53" spans="1:11">
      <c r="A53" t="s">
        <v>3245</v>
      </c>
      <c r="B53" s="9">
        <v>61.5</v>
      </c>
      <c r="C53">
        <v>0</v>
      </c>
      <c r="D53">
        <v>0</v>
      </c>
      <c r="E53" s="9">
        <v>0</v>
      </c>
      <c r="F53">
        <f>--ISNUMBER(SEARCH('RC Checklist'!$H$8,A53))</f>
        <v>1</v>
      </c>
      <c r="G53">
        <f>IF(F53=1,COUNTIF($F$2:$F53,1),"")</f>
        <v>50</v>
      </c>
      <c r="H53" t="str">
        <f>IFERROR(INDEX(FixedItem[Item], MATCH(ROWS($G$2:$G53),FixedItem[frequency], 0)),"")</f>
        <v>Rubber roofing - fully adhered system - 45mil</v>
      </c>
      <c r="I53">
        <f>--ISNUMBER(SEARCH('RC Checklist'!$H$9,A53))</f>
        <v>1</v>
      </c>
      <c r="J53">
        <f ca="1">IF(I53=1,COUNTIF($J$2:$J53,1),"")</f>
        <v>0</v>
      </c>
      <c r="K53">
        <f ca="1">IFERROR(INDEX(FixedItem[Item], MATCH(ROWS($J$2:$J53),FixedItem[frequency3], 0)),"")</f>
        <v>0</v>
      </c>
    </row>
    <row r="54" spans="1:11">
      <c r="A54" t="s">
        <v>3207</v>
      </c>
      <c r="B54" s="9">
        <v>110.77</v>
      </c>
      <c r="C54">
        <v>0</v>
      </c>
      <c r="D54">
        <v>0</v>
      </c>
      <c r="E54" s="9">
        <v>0</v>
      </c>
      <c r="F54">
        <f>--ISNUMBER(SEARCH('RC Checklist'!$H$8,A54))</f>
        <v>1</v>
      </c>
      <c r="G54">
        <f>IF(F54=1,COUNTIF($F$2:$F54,1),"")</f>
        <v>51</v>
      </c>
      <c r="H54" t="str">
        <f>IFERROR(INDEX(FixedItem[Item], MATCH(ROWS($G$2:$G54),FixedItem[frequency], 0)),"")</f>
        <v>Sand, Stain, and finish wood floor</v>
      </c>
      <c r="I54">
        <f>--ISNUMBER(SEARCH('RC Checklist'!$H$9,A54))</f>
        <v>1</v>
      </c>
      <c r="J54">
        <f ca="1">IF(I54=1,COUNTIF($J$2:$J54,1),"")</f>
        <v>0</v>
      </c>
      <c r="K54">
        <f ca="1">IFERROR(INDEX(FixedItem[Item], MATCH(ROWS($J$2:$J54),FixedItem[frequency3], 0)),"")</f>
        <v>0</v>
      </c>
    </row>
    <row r="55" spans="1:11">
      <c r="A55" t="s">
        <v>3242</v>
      </c>
      <c r="B55" s="9">
        <v>521.95000000000005</v>
      </c>
      <c r="C55">
        <v>0</v>
      </c>
      <c r="D55">
        <v>0</v>
      </c>
      <c r="E55" s="9">
        <v>0</v>
      </c>
      <c r="F55">
        <f>--ISNUMBER(SEARCH('RC Checklist'!$H$8,A55))</f>
        <v>1</v>
      </c>
      <c r="G55">
        <f>IF(F55=1,COUNTIF($F$2:$F55,1),"")</f>
        <v>52</v>
      </c>
      <c r="H55" t="str">
        <f>IFERROR(INDEX(FixedItem[Item], MATCH(ROWS($G$2:$G55),FixedItem[frequency], 0)),"")</f>
        <v>Seal &amp; paint baseboard - 2 coats</v>
      </c>
      <c r="I55">
        <f>--ISNUMBER(SEARCH('RC Checklist'!$H$9,A55))</f>
        <v>1</v>
      </c>
      <c r="J55">
        <f ca="1">IF(I55=1,COUNTIF($J$2:$J55,1),"")</f>
        <v>0</v>
      </c>
      <c r="K55">
        <f ca="1">IFERROR(INDEX(FixedItem[Item], MATCH(ROWS($J$2:$J55),FixedItem[frequency3], 0)),"")</f>
        <v>0</v>
      </c>
    </row>
    <row r="56" spans="1:11">
      <c r="A56" t="s">
        <v>3199</v>
      </c>
      <c r="B56" s="9">
        <v>4.3</v>
      </c>
      <c r="C56">
        <v>0</v>
      </c>
      <c r="D56">
        <v>0</v>
      </c>
      <c r="E56" s="9">
        <v>0</v>
      </c>
      <c r="F56">
        <f>--ISNUMBER(SEARCH('RC Checklist'!$H$8,A56))</f>
        <v>1</v>
      </c>
      <c r="G56">
        <f>IF(F56=1,COUNTIF($F$2:$F56,1),"")</f>
        <v>53</v>
      </c>
      <c r="H56" t="str">
        <f>IFERROR(INDEX(FixedItem[Item], MATCH(ROWS($G$2:$G56),FixedItem[frequency], 0)),"")</f>
        <v>Seal &amp; paint baseboard, oversized - 2 coats</v>
      </c>
      <c r="I56">
        <f>--ISNUMBER(SEARCH('RC Checklist'!$H$9,A56))</f>
        <v>1</v>
      </c>
      <c r="J56">
        <f ca="1">IF(I56=1,COUNTIF($J$2:$J56,1),"")</f>
        <v>0</v>
      </c>
      <c r="K56">
        <f ca="1">IFERROR(INDEX(FixedItem[Item], MATCH(ROWS($J$2:$J56),FixedItem[frequency3], 0)),"")</f>
        <v>0</v>
      </c>
    </row>
    <row r="57" spans="1:11">
      <c r="A57" t="s">
        <v>3177</v>
      </c>
      <c r="B57" s="9">
        <v>1.31</v>
      </c>
      <c r="C57">
        <v>0</v>
      </c>
      <c r="D57">
        <v>0</v>
      </c>
      <c r="E57" s="9">
        <v>0</v>
      </c>
      <c r="F57">
        <f>--ISNUMBER(SEARCH('RC Checklist'!$H$8,A57))</f>
        <v>1</v>
      </c>
      <c r="G57">
        <f>IF(F57=1,COUNTIF($F$2:$F57,1),"")</f>
        <v>54</v>
      </c>
      <c r="H57" t="str">
        <f>IFERROR(INDEX(FixedItem[Item], MATCH(ROWS($G$2:$G57),FixedItem[frequency], 0)),"")</f>
        <v>Seal &amp; paint casing - 2 coats</v>
      </c>
      <c r="I57">
        <f>--ISNUMBER(SEARCH('RC Checklist'!$H$9,A57))</f>
        <v>1</v>
      </c>
      <c r="J57">
        <f ca="1">IF(I57=1,COUNTIF($J$2:$J57,1),"")</f>
        <v>0</v>
      </c>
      <c r="K57">
        <f ca="1">IFERROR(INDEX(FixedItem[Item], MATCH(ROWS($J$2:$J57),FixedItem[frequency3], 0)),"")</f>
        <v>0</v>
      </c>
    </row>
    <row r="58" spans="1:11">
      <c r="A58" t="s">
        <v>3233</v>
      </c>
      <c r="B58" s="9">
        <v>1.4</v>
      </c>
      <c r="C58">
        <v>0</v>
      </c>
      <c r="D58">
        <v>0</v>
      </c>
      <c r="E58" s="9">
        <v>0</v>
      </c>
      <c r="F58">
        <f>--ISNUMBER(SEARCH('RC Checklist'!$H$8,A58))</f>
        <v>1</v>
      </c>
      <c r="G58">
        <f>IF(F58=1,COUNTIF($F$2:$F58,1),"")</f>
        <v>55</v>
      </c>
      <c r="H58" t="str">
        <f>IFERROR(INDEX(FixedItem[Item], MATCH(ROWS($G$2:$G58),FixedItem[frequency], 0)),"")</f>
        <v>Seal &amp; paint wood shelving, 12" - 24" width</v>
      </c>
      <c r="I58">
        <f>--ISNUMBER(SEARCH('RC Checklist'!$H$9,A58))</f>
        <v>1</v>
      </c>
      <c r="J58">
        <f ca="1">IF(I58=1,COUNTIF($J$2:$J58,1),"")</f>
        <v>0</v>
      </c>
      <c r="K58">
        <f ca="1">IFERROR(INDEX(FixedItem[Item], MATCH(ROWS($J$2:$J58),FixedItem[frequency3], 0)),"")</f>
        <v>0</v>
      </c>
    </row>
    <row r="59" spans="1:11">
      <c r="A59" t="s">
        <v>3206</v>
      </c>
      <c r="B59" s="9">
        <v>1.31</v>
      </c>
      <c r="C59">
        <v>0</v>
      </c>
      <c r="D59">
        <v>0</v>
      </c>
      <c r="E59" s="9">
        <v>0</v>
      </c>
      <c r="F59">
        <f>--ISNUMBER(SEARCH('RC Checklist'!$H$8,A59))</f>
        <v>1</v>
      </c>
      <c r="G59">
        <f>IF(F59=1,COUNTIF($F$2:$F59,1),"")</f>
        <v>56</v>
      </c>
      <c r="H59" t="str">
        <f>IFERROR(INDEX(FixedItem[Item], MATCH(ROWS($G$2:$G59),FixedItem[frequency], 0)),"")</f>
        <v>Seal/prime then paint the wall (2 coats)</v>
      </c>
      <c r="I59">
        <f>--ISNUMBER(SEARCH('RC Checklist'!$H$9,A59))</f>
        <v>1</v>
      </c>
      <c r="J59">
        <f ca="1">IF(I59=1,COUNTIF($J$2:$J59,1),"")</f>
        <v>0</v>
      </c>
      <c r="K59">
        <f ca="1">IFERROR(INDEX(FixedItem[Item], MATCH(ROWS($J$2:$J59),FixedItem[frequency3], 0)),"")</f>
        <v>0</v>
      </c>
    </row>
    <row r="60" spans="1:11">
      <c r="A60" t="s">
        <v>3221</v>
      </c>
      <c r="B60" s="9">
        <v>3.95</v>
      </c>
      <c r="C60">
        <v>0</v>
      </c>
      <c r="D60">
        <v>0</v>
      </c>
      <c r="E60" s="9">
        <v>0</v>
      </c>
      <c r="F60">
        <f>--ISNUMBER(SEARCH('RC Checklist'!$H$8,A60))</f>
        <v>1</v>
      </c>
      <c r="G60">
        <f>IF(F60=1,COUNTIF($F$2:$F60,1),"")</f>
        <v>57</v>
      </c>
      <c r="H60" t="str">
        <f>IFERROR(INDEX(FixedItem[Item], MATCH(ROWS($G$2:$G60),FixedItem[frequency], 0)),"")</f>
        <v>Seal/prime then paint the wall and ceiling (2 coats)</v>
      </c>
      <c r="I60">
        <f>--ISNUMBER(SEARCH('RC Checklist'!$H$9,A60))</f>
        <v>1</v>
      </c>
      <c r="J60">
        <f ca="1">IF(I60=1,COUNTIF($J$2:$J60,1),"")</f>
        <v>0</v>
      </c>
      <c r="K60">
        <f ca="1">IFERROR(INDEX(FixedItem[Item], MATCH(ROWS($J$2:$J60),FixedItem[frequency3], 0)),"")</f>
        <v>0</v>
      </c>
    </row>
    <row r="61" spans="1:11">
      <c r="A61" t="s">
        <v>3187</v>
      </c>
      <c r="B61" s="9">
        <v>0.85</v>
      </c>
      <c r="C61">
        <v>0</v>
      </c>
      <c r="D61">
        <v>0</v>
      </c>
      <c r="E61" s="9">
        <v>0</v>
      </c>
      <c r="F61">
        <f>--ISNUMBER(SEARCH('RC Checklist'!$H$8,A61))</f>
        <v>1</v>
      </c>
      <c r="G61">
        <f>IF(F61=1,COUNTIF($F$2:$F61,1),"")</f>
        <v>58</v>
      </c>
      <c r="H61" t="str">
        <f>IFERROR(INDEX(FixedItem[Item], MATCH(ROWS($G$2:$G61),FixedItem[frequency], 0)),"")</f>
        <v>Seal/prime then paint the walls and ceiling (2 coats)</v>
      </c>
      <c r="I61">
        <f>--ISNUMBER(SEARCH('RC Checklist'!$H$9,A61))</f>
        <v>1</v>
      </c>
      <c r="J61">
        <f ca="1">IF(I61=1,COUNTIF($J$2:$J61,1),"")</f>
        <v>0</v>
      </c>
      <c r="K61">
        <f ca="1">IFERROR(INDEX(FixedItem[Item], MATCH(ROWS($J$2:$J61),FixedItem[frequency3], 0)),"")</f>
        <v>0</v>
      </c>
    </row>
    <row r="62" spans="1:11">
      <c r="A62" t="s">
        <v>3184</v>
      </c>
      <c r="B62" s="9">
        <v>0.85</v>
      </c>
      <c r="C62">
        <v>0</v>
      </c>
      <c r="D62">
        <v>0</v>
      </c>
      <c r="E62" s="9">
        <v>0</v>
      </c>
      <c r="F62">
        <f>--ISNUMBER(SEARCH('RC Checklist'!$H$8,A62))</f>
        <v>1</v>
      </c>
      <c r="G62">
        <f>IF(F62=1,COUNTIF($F$2:$F62,1),"")</f>
        <v>59</v>
      </c>
      <c r="H62" t="str">
        <f>IFERROR(INDEX(FixedItem[Item], MATCH(ROWS($G$2:$G62),FixedItem[frequency], 0)),"")</f>
        <v>Sheathing - plywood - 5/8" CDX</v>
      </c>
      <c r="I62">
        <f>--ISNUMBER(SEARCH('RC Checklist'!$H$9,A62))</f>
        <v>1</v>
      </c>
      <c r="J62">
        <f ca="1">IF(I62=1,COUNTIF($J$2:$J62,1),"")</f>
        <v>0</v>
      </c>
      <c r="K62">
        <f ca="1">IFERROR(INDEX(FixedItem[Item], MATCH(ROWS($J$2:$J62),FixedItem[frequency3], 0)),"")</f>
        <v>0</v>
      </c>
    </row>
    <row r="63" spans="1:11">
      <c r="A63" t="s">
        <v>3246</v>
      </c>
      <c r="B63" s="9">
        <v>0.85</v>
      </c>
      <c r="C63">
        <v>0</v>
      </c>
      <c r="D63">
        <v>0</v>
      </c>
      <c r="E63" s="9">
        <v>0</v>
      </c>
      <c r="F63">
        <f>--ISNUMBER(SEARCH('RC Checklist'!$H$8,A63))</f>
        <v>1</v>
      </c>
      <c r="G63">
        <f>IF(F63=1,COUNTIF($F$2:$F63,1),"")</f>
        <v>60</v>
      </c>
      <c r="H63" t="str">
        <f>IFERROR(INDEX(FixedItem[Item], MATCH(ROWS($G$2:$G63),FixedItem[frequency], 0)),"")</f>
        <v>Sheathing - plywood - 5/8" CDX - Sheathing warped by water</v>
      </c>
      <c r="I63">
        <f>--ISNUMBER(SEARCH('RC Checklist'!$H$9,A63))</f>
        <v>1</v>
      </c>
      <c r="J63">
        <f ca="1">IF(I63=1,COUNTIF($J$2:$J63,1),"")</f>
        <v>0</v>
      </c>
      <c r="K63">
        <f ca="1">IFERROR(INDEX(FixedItem[Item], MATCH(ROWS($J$2:$J63),FixedItem[frequency3], 0)),"")</f>
        <v>0</v>
      </c>
    </row>
    <row r="64" spans="1:11">
      <c r="A64" t="s">
        <v>3234</v>
      </c>
      <c r="B64" s="9">
        <v>1.74</v>
      </c>
      <c r="C64">
        <v>0</v>
      </c>
      <c r="D64">
        <v>0</v>
      </c>
      <c r="E64" s="9">
        <v>0</v>
      </c>
      <c r="F64">
        <f>--ISNUMBER(SEARCH('RC Checklist'!$H$8,A64))</f>
        <v>1</v>
      </c>
      <c r="G64">
        <f>IF(F64=1,COUNTIF($F$2:$F64,1),"")</f>
        <v>61</v>
      </c>
      <c r="H64" t="str">
        <f>IFERROR(INDEX(FixedItem[Item], MATCH(ROWS($G$2:$G64),FixedItem[frequency], 0)),"")</f>
        <v>Shelving - 24" - In place</v>
      </c>
      <c r="I64">
        <f>--ISNUMBER(SEARCH('RC Checklist'!$H$9,A64))</f>
        <v>1</v>
      </c>
      <c r="J64">
        <f ca="1">IF(I64=1,COUNTIF($J$2:$J64,1),"")</f>
        <v>0</v>
      </c>
      <c r="K64">
        <f ca="1">IFERROR(INDEX(FixedItem[Item], MATCH(ROWS($J$2:$J64),FixedItem[frequency3], 0)),"")</f>
        <v>0</v>
      </c>
    </row>
    <row r="65" spans="1:11">
      <c r="A65" t="s">
        <v>3239</v>
      </c>
      <c r="B65" s="9">
        <v>2.59</v>
      </c>
      <c r="C65">
        <v>0</v>
      </c>
      <c r="D65">
        <v>0</v>
      </c>
      <c r="E65" s="9">
        <v>0</v>
      </c>
      <c r="F65">
        <f>--ISNUMBER(SEARCH('RC Checklist'!$H$8,A65))</f>
        <v>1</v>
      </c>
      <c r="G65">
        <f>IF(F65=1,COUNTIF($F$2:$F65,1),"")</f>
        <v>62</v>
      </c>
      <c r="H65" t="str">
        <f>IFERROR(INDEX(FixedItem[Item], MATCH(ROWS($G$2:$G65),FixedItem[frequency], 0)),"")</f>
        <v>Sink faucet - kitchen</v>
      </c>
      <c r="I65">
        <f>--ISNUMBER(SEARCH('RC Checklist'!$H$9,A65))</f>
        <v>1</v>
      </c>
      <c r="J65">
        <f ca="1">IF(I65=1,COUNTIF($J$2:$J65,1),"")</f>
        <v>0</v>
      </c>
      <c r="K65">
        <f ca="1">IFERROR(INDEX(FixedItem[Item], MATCH(ROWS($J$2:$J65),FixedItem[frequency3], 0)),"")</f>
        <v>0</v>
      </c>
    </row>
    <row r="66" spans="1:11">
      <c r="A66" t="s">
        <v>3220</v>
      </c>
      <c r="B66" s="9">
        <v>9.4</v>
      </c>
      <c r="C66">
        <v>0</v>
      </c>
      <c r="D66">
        <v>0</v>
      </c>
      <c r="E66" s="9">
        <v>0</v>
      </c>
      <c r="F66">
        <f>--ISNUMBER(SEARCH('RC Checklist'!$H$8,A66))</f>
        <v>1</v>
      </c>
      <c r="G66">
        <f>IF(F66=1,COUNTIF($F$2:$F66,1),"")</f>
        <v>63</v>
      </c>
      <c r="H66" t="str">
        <f>IFERROR(INDEX(FixedItem[Item], MATCH(ROWS($G$2:$G66),FixedItem[frequency], 0)),"")</f>
        <v>Smoke detector</v>
      </c>
      <c r="I66">
        <f>--ISNUMBER(SEARCH('RC Checklist'!$H$9,A66))</f>
        <v>1</v>
      </c>
      <c r="J66">
        <f ca="1">IF(I66=1,COUNTIF($J$2:$J66,1),"")</f>
        <v>0</v>
      </c>
      <c r="K66">
        <f ca="1">IFERROR(INDEX(FixedItem[Item], MATCH(ROWS($J$2:$J66),FixedItem[frequency3], 0)),"")</f>
        <v>0</v>
      </c>
    </row>
    <row r="67" spans="1:11">
      <c r="A67" t="s">
        <v>3229</v>
      </c>
      <c r="B67" s="9">
        <v>231.04</v>
      </c>
      <c r="C67">
        <v>0</v>
      </c>
      <c r="D67">
        <v>0</v>
      </c>
      <c r="E67" s="9">
        <v>0</v>
      </c>
      <c r="F67">
        <f>--ISNUMBER(SEARCH('RC Checklist'!$H$8,A67))</f>
        <v>1</v>
      </c>
      <c r="G67">
        <f>IF(F67=1,COUNTIF($F$2:$F67,1),"")</f>
        <v>64</v>
      </c>
      <c r="H67" t="str">
        <f>IFERROR(INDEX(FixedItem[Item], MATCH(ROWS($G$2:$G67),FixedItem[frequency], 0)),"")</f>
        <v>Stain &amp; Finish bypass door set - slab only (per side)</v>
      </c>
      <c r="I67">
        <f>--ISNUMBER(SEARCH('RC Checklist'!$H$9,A67))</f>
        <v>1</v>
      </c>
      <c r="J67">
        <f ca="1">IF(I67=1,COUNTIF($J$2:$J67,1),"")</f>
        <v>0</v>
      </c>
      <c r="K67">
        <f ca="1">IFERROR(INDEX(FixedItem[Item], MATCH(ROWS($J$2:$J67),FixedItem[frequency3], 0)),"")</f>
        <v>0</v>
      </c>
    </row>
    <row r="68" spans="1:11">
      <c r="A68" t="s">
        <v>3191</v>
      </c>
      <c r="B68" s="9">
        <v>49.61</v>
      </c>
      <c r="C68">
        <v>0</v>
      </c>
      <c r="D68">
        <v>0</v>
      </c>
      <c r="E68" s="9">
        <v>0</v>
      </c>
      <c r="F68">
        <f>--ISNUMBER(SEARCH('RC Checklist'!$H$8,A68))</f>
        <v>1</v>
      </c>
      <c r="G68">
        <f>IF(F68=1,COUNTIF($F$2:$F68,1),"")</f>
        <v>65</v>
      </c>
      <c r="H68" t="str">
        <f>IFERROR(INDEX(FixedItem[Item], MATCH(ROWS($G$2:$G68),FixedItem[frequency], 0)),"")</f>
        <v>Tear off, haul and dispose rubber roofing - per adhered</v>
      </c>
      <c r="I68">
        <f>--ISNUMBER(SEARCH('RC Checklist'!$H$9,A68))</f>
        <v>1</v>
      </c>
      <c r="J68">
        <f ca="1">IF(I68=1,COUNTIF($J$2:$J68,1),"")</f>
        <v>0</v>
      </c>
      <c r="K68">
        <f ca="1">IFERROR(INDEX(FixedItem[Item], MATCH(ROWS($J$2:$J68),FixedItem[frequency3], 0)),"")</f>
        <v>0</v>
      </c>
    </row>
    <row r="69" spans="1:11">
      <c r="A69" t="s">
        <v>3222</v>
      </c>
      <c r="B69" s="9">
        <v>67.430000000000007</v>
      </c>
      <c r="C69">
        <v>0</v>
      </c>
      <c r="D69">
        <v>0</v>
      </c>
      <c r="E69" s="9">
        <v>0</v>
      </c>
      <c r="F69">
        <f>--ISNUMBER(SEARCH('RC Checklist'!$H$8,A69))</f>
        <v>1</v>
      </c>
      <c r="G69">
        <f>IF(F69=1,COUNTIF($F$2:$F69,1),"")</f>
        <v>66</v>
      </c>
      <c r="H69" t="str">
        <f>IFERROR(INDEX(FixedItem[Item], MATCH(ROWS($G$2:$G69),FixedItem[frequency], 0)),"")</f>
        <v>Travertine tile</v>
      </c>
      <c r="I69">
        <f>--ISNUMBER(SEARCH('RC Checklist'!$H$9,A69))</f>
        <v>1</v>
      </c>
      <c r="J69">
        <f ca="1">IF(I69=1,COUNTIF($J$2:$J69,1),"")</f>
        <v>0</v>
      </c>
      <c r="K69">
        <f ca="1">IFERROR(INDEX(FixedItem[Item], MATCH(ROWS($J$2:$J69),FixedItem[frequency3], 0)),"")</f>
        <v>0</v>
      </c>
    </row>
    <row r="70" spans="1:11">
      <c r="A70" t="s">
        <v>3240</v>
      </c>
      <c r="B70" s="9">
        <v>51.25</v>
      </c>
      <c r="C70">
        <v>0</v>
      </c>
      <c r="D70">
        <v>0</v>
      </c>
      <c r="E70" s="9">
        <v>0</v>
      </c>
      <c r="F70">
        <f>--ISNUMBER(SEARCH('RC Checklist'!$H$8,A70))</f>
        <v>1</v>
      </c>
      <c r="G70">
        <f>IF(F70=1,COUNTIF($F$2:$F70,1),"")</f>
        <v>67</v>
      </c>
      <c r="H70" t="str">
        <f>IFERROR(INDEX(FixedItem[Item], MATCH(ROWS($G$2:$G70),FixedItem[frequency], 0)),"")</f>
        <v>Vinyl Cove 4" wrap</v>
      </c>
      <c r="I70">
        <f>--ISNUMBER(SEARCH('RC Checklist'!$H$9,A70))</f>
        <v>1</v>
      </c>
      <c r="J70">
        <f ca="1">IF(I70=1,COUNTIF($J$2:$J70,1),"")</f>
        <v>0</v>
      </c>
      <c r="K70">
        <f ca="1">IFERROR(INDEX(FixedItem[Item], MATCH(ROWS($J$2:$J70),FixedItem[frequency3], 0)),"")</f>
        <v>0</v>
      </c>
    </row>
    <row r="71" spans="1:11">
      <c r="A71" t="s">
        <v>3236</v>
      </c>
      <c r="B71" s="9">
        <v>13.4</v>
      </c>
      <c r="C71">
        <v>0</v>
      </c>
      <c r="D71">
        <v>0</v>
      </c>
      <c r="E71" s="9">
        <v>0</v>
      </c>
      <c r="F71">
        <f>--ISNUMBER(SEARCH('RC Checklist'!$H$8,A71))</f>
        <v>1</v>
      </c>
      <c r="G71">
        <f>IF(F71=1,COUNTIF($F$2:$F71,1),"")</f>
        <v>68</v>
      </c>
      <c r="H71" t="str">
        <f>IFERROR(INDEX(FixedItem[Item], MATCH(ROWS($G$2:$G71),FixedItem[frequency], 0)),"")</f>
        <v>Vinyl tile</v>
      </c>
      <c r="I71">
        <f>--ISNUMBER(SEARCH('RC Checklist'!$H$9,A71))</f>
        <v>1</v>
      </c>
      <c r="J71">
        <f ca="1">IF(I71=1,COUNTIF($J$2:$J71,1),"")</f>
        <v>0</v>
      </c>
      <c r="K71">
        <f ca="1">IFERROR(INDEX(FixedItem[Item], MATCH(ROWS($J$2:$J71),FixedItem[frequency3], 0)),"")</f>
        <v>0</v>
      </c>
    </row>
    <row r="72" spans="1:11">
      <c r="A72" t="s">
        <v>3223</v>
      </c>
      <c r="B72" s="9">
        <v>8.67</v>
      </c>
      <c r="C72">
        <v>0</v>
      </c>
      <c r="D72">
        <v>0</v>
      </c>
      <c r="E72" s="9">
        <v>0</v>
      </c>
      <c r="F72">
        <f>--ISNUMBER(SEARCH('RC Checklist'!$H$8,A72))</f>
        <v>1</v>
      </c>
      <c r="G72">
        <f>IF(F72=1,COUNTIF($F$2:$F72,1),"")</f>
        <v>69</v>
      </c>
      <c r="H72" t="str">
        <f>IFERROR(INDEX(FixedItem[Item], MATCH(ROWS($G$2:$G72),FixedItem[frequency], 0)),"")</f>
        <v>Washing machine - Remove and reset</v>
      </c>
      <c r="I72">
        <f>--ISNUMBER(SEARCH('RC Checklist'!$H$9,A72))</f>
        <v>1</v>
      </c>
      <c r="J72">
        <f ca="1">IF(I72=1,COUNTIF($J$2:$J72,1),"")</f>
        <v>0</v>
      </c>
      <c r="K72">
        <f ca="1">IFERROR(INDEX(FixedItem[Item], MATCH(ROWS($J$2:$J72),FixedItem[frequency3], 0)),"")</f>
        <v>0</v>
      </c>
    </row>
    <row r="73" spans="1:11">
      <c r="A73" t="s">
        <v>3225</v>
      </c>
      <c r="B73" s="9">
        <v>3.71</v>
      </c>
      <c r="C73">
        <v>0</v>
      </c>
      <c r="D73">
        <v>0</v>
      </c>
      <c r="E73" s="9">
        <v>0</v>
      </c>
      <c r="F73">
        <f>--ISNUMBER(SEARCH('RC Checklist'!$H$8,A73))</f>
        <v>1</v>
      </c>
      <c r="G73">
        <f>IF(F73=1,COUNTIF($F$2:$F73,1),"")</f>
        <v>70</v>
      </c>
      <c r="H73" t="str">
        <f>IFERROR(INDEX(FixedItem[Item], MATCH(ROWS($G$2:$G73),FixedItem[frequency], 0)),"")</f>
        <v>Window trim set (casing &amp; stop)</v>
      </c>
      <c r="I73">
        <f>--ISNUMBER(SEARCH('RC Checklist'!$H$9,A73))</f>
        <v>1</v>
      </c>
      <c r="J73">
        <f ca="1">IF(I73=1,COUNTIF($J$2:$J73,1),"")</f>
        <v>0</v>
      </c>
      <c r="K73">
        <f ca="1">IFERROR(INDEX(FixedItem[Item], MATCH(ROWS($J$2:$J73),FixedItem[frequency3], 0)),"")</f>
        <v>0</v>
      </c>
    </row>
    <row r="74" spans="1:11">
      <c r="A74" t="s">
        <v>3202</v>
      </c>
      <c r="B74" s="9">
        <v>30.84</v>
      </c>
      <c r="C74">
        <v>0</v>
      </c>
      <c r="D74">
        <v>0</v>
      </c>
      <c r="E74" s="9">
        <v>0</v>
      </c>
      <c r="F74">
        <f>--ISNUMBER(SEARCH('RC Checklist'!$H$8,A74))</f>
        <v>1</v>
      </c>
      <c r="G74">
        <f>IF(F74=1,COUNTIF($F$2:$F74,1),"")</f>
        <v>71</v>
      </c>
      <c r="H74" t="str">
        <f>IFERROR(INDEX(FixedItem[Item], MATCH(ROWS($G$2:$G74),FixedItem[frequency], 0)),"")</f>
        <v>Paint door or window opening - Large - 2 coats (per side)</v>
      </c>
      <c r="I74">
        <f>--ISNUMBER(SEARCH('RC Checklist'!$H$9,A74))</f>
        <v>1</v>
      </c>
      <c r="J74">
        <f ca="1">IF(I74=1,COUNTIF($J$2:$J74,1),"")</f>
        <v>0</v>
      </c>
      <c r="K74">
        <f ca="1">IFERROR(INDEX(FixedItem[Item], MATCH(ROWS($J$2:$J74),FixedItem[frequency3], 0)),"")</f>
        <v>0</v>
      </c>
    </row>
    <row r="75" spans="1:11">
      <c r="A75" t="s">
        <v>3174</v>
      </c>
      <c r="B75" s="9">
        <v>3.25</v>
      </c>
      <c r="C75">
        <v>0</v>
      </c>
      <c r="D75">
        <v>0</v>
      </c>
      <c r="E75" s="9">
        <v>0</v>
      </c>
      <c r="F75">
        <f>--ISNUMBER(SEARCH('RC Checklist'!$H$8,A75))</f>
        <v>1</v>
      </c>
      <c r="G75">
        <f>IF(F75=1,COUNTIF($F$2:$F75,1),"")</f>
        <v>72</v>
      </c>
      <c r="H75" t="str">
        <f>IFERROR(INDEX(FixedItem[Item], MATCH(ROWS($G$2:$G75),FixedItem[frequency], 0)),"")</f>
        <v>Carpet - metal transition strip</v>
      </c>
      <c r="I75">
        <f>--ISNUMBER(SEARCH('RC Checklist'!$H$9,A75))</f>
        <v>1</v>
      </c>
      <c r="J75">
        <f ca="1">IF(I75=1,COUNTIF($J$2:$J75,1),"")</f>
        <v>0</v>
      </c>
      <c r="K75">
        <f ca="1">IFERROR(INDEX(FixedItem[Item], MATCH(ROWS($J$2:$J75),FixedItem[frequency3], 0)),"")</f>
        <v>0</v>
      </c>
    </row>
    <row r="76" spans="1:11">
      <c r="A76" t="s">
        <v>3248</v>
      </c>
      <c r="B76" s="9">
        <v>37.18</v>
      </c>
      <c r="C76">
        <v>0</v>
      </c>
      <c r="D76">
        <v>0</v>
      </c>
      <c r="E76" s="9">
        <v>0</v>
      </c>
      <c r="F76">
        <f>--ISNUMBER(SEARCH('RC Checklist'!$H$8,A76))</f>
        <v>1</v>
      </c>
      <c r="G76">
        <f>IF(F76=1,COUNTIF($F$2:$F76,1),"")</f>
        <v>73</v>
      </c>
      <c r="H76" t="str">
        <f>IFERROR(INDEX(FixedItem[Item], MATCH(ROWS($G$2:$G76),FixedItem[frequency], 0)),"")</f>
        <v>Furring Strip - 1" x 2"</v>
      </c>
      <c r="I76">
        <f>--ISNUMBER(SEARCH('RC Checklist'!$H$9,A76))</f>
        <v>1</v>
      </c>
      <c r="J76">
        <f ca="1">IF(I76=1,COUNTIF($J$2:$J76,1),"")</f>
        <v>0</v>
      </c>
      <c r="K76">
        <f ca="1">IFERROR(INDEX(FixedItem[Item], MATCH(ROWS($J$2:$J76),FixedItem[frequency3], 0)),"")</f>
        <v>0</v>
      </c>
    </row>
    <row r="77" spans="1:11">
      <c r="A77" t="s">
        <v>3249</v>
      </c>
      <c r="B77" s="9">
        <v>3.28</v>
      </c>
      <c r="C77">
        <v>0</v>
      </c>
      <c r="D77">
        <v>0</v>
      </c>
      <c r="E77" s="9">
        <v>0</v>
      </c>
      <c r="F77">
        <f>--ISNUMBER(SEARCH('RC Checklist'!$H$8,A77))</f>
        <v>1</v>
      </c>
      <c r="G77">
        <f>IF(F77=1,COUNTIF($F$2:$F77,1),"")</f>
        <v>74</v>
      </c>
      <c r="H77" t="str">
        <f>IFERROR(INDEX(FixedItem[Item], MATCH(ROWS($G$2:$G77),FixedItem[frequency], 0)),"")</f>
        <v>Acoustic ceiling tile</v>
      </c>
      <c r="I77">
        <f>--ISNUMBER(SEARCH('RC Checklist'!$H$9,A77))</f>
        <v>1</v>
      </c>
      <c r="J77">
        <f ca="1">IF(I77=1,COUNTIF($J$2:$J77,1),"")</f>
        <v>0</v>
      </c>
      <c r="K77">
        <f ca="1">IFERROR(INDEX(FixedItem[Item], MATCH(ROWS($J$2:$J77),FixedItem[frequency3], 0)),"")</f>
        <v>0</v>
      </c>
    </row>
    <row r="78" spans="1:11">
      <c r="A78" t="s">
        <v>3250</v>
      </c>
      <c r="B78" s="9">
        <v>0.78</v>
      </c>
      <c r="C78">
        <v>0</v>
      </c>
      <c r="D78">
        <v>0</v>
      </c>
      <c r="E78" s="9">
        <v>0</v>
      </c>
      <c r="F78">
        <f>--ISNUMBER(SEARCH('RC Checklist'!$H$8,A78))</f>
        <v>1</v>
      </c>
      <c r="G78">
        <f>IF(F78=1,COUNTIF($F$2:$F78,1),"")</f>
        <v>75</v>
      </c>
      <c r="H78" t="str">
        <f>IFERROR(INDEX(FixedItem[Item], MATCH(ROWS($G$2:$G78),FixedItem[frequency], 0)),"")</f>
        <v>Fluorescent light fixture</v>
      </c>
      <c r="I78">
        <f>--ISNUMBER(SEARCH('RC Checklist'!$H$9,A78))</f>
        <v>1</v>
      </c>
      <c r="J78">
        <f ca="1">IF(I78=1,COUNTIF($J$2:$J78,1),"")</f>
        <v>0</v>
      </c>
      <c r="K78">
        <f ca="1">IFERROR(INDEX(FixedItem[Item], MATCH(ROWS($J$2:$J78),FixedItem[frequency3], 0)),"")</f>
        <v>0</v>
      </c>
    </row>
    <row r="79" spans="1:11">
      <c r="A79" t="s">
        <v>3251</v>
      </c>
      <c r="B79" s="9">
        <v>3.17</v>
      </c>
      <c r="C79">
        <v>0</v>
      </c>
      <c r="D79">
        <v>0</v>
      </c>
      <c r="E79" s="9">
        <v>0</v>
      </c>
      <c r="F79">
        <f>--ISNUMBER(SEARCH('RC Checklist'!$H$8,A79))</f>
        <v>1</v>
      </c>
      <c r="G79">
        <f>IF(F79=1,COUNTIF($F$2:$F79,1),"")</f>
        <v>76</v>
      </c>
      <c r="H79" t="str">
        <f>IFERROR(INDEX(FixedItem[Item], MATCH(ROWS($G$2:$G79),FixedItem[frequency], 0)),"")</f>
        <v>Wood window - awning, 7-12 sf</v>
      </c>
      <c r="I79">
        <f>--ISNUMBER(SEARCH('RC Checklist'!$H$9,A79))</f>
        <v>1</v>
      </c>
      <c r="J79">
        <f ca="1">IF(I79=1,COUNTIF($J$2:$J79,1),"")</f>
        <v>0</v>
      </c>
      <c r="K79">
        <f ca="1">IFERROR(INDEX(FixedItem[Item], MATCH(ROWS($J$2:$J79),FixedItem[frequency3], 0)),"")</f>
        <v>0</v>
      </c>
    </row>
    <row r="80" spans="1:11">
      <c r="A80" t="s">
        <v>3252</v>
      </c>
      <c r="B80" s="9">
        <v>95.16</v>
      </c>
      <c r="C80">
        <v>0</v>
      </c>
      <c r="D80">
        <v>0</v>
      </c>
      <c r="E80" s="9">
        <v>0</v>
      </c>
      <c r="F80">
        <f>--ISNUMBER(SEARCH('RC Checklist'!$H$8,A80))</f>
        <v>1</v>
      </c>
      <c r="G80">
        <f>IF(F80=1,COUNTIF($F$2:$F80,1),"")</f>
        <v>77</v>
      </c>
      <c r="H80" t="str">
        <f>IFERROR(INDEX(FixedItem[Item], MATCH(ROWS($G$2:$G80),FixedItem[frequency], 0)),"")</f>
        <v>Seal &amp; paint wood window (per side)</v>
      </c>
      <c r="I80">
        <f>--ISNUMBER(SEARCH('RC Checklist'!$H$9,A80))</f>
        <v>1</v>
      </c>
      <c r="J80">
        <f ca="1">IF(I80=1,COUNTIF($J$2:$J80,1),"")</f>
        <v>0</v>
      </c>
      <c r="K80">
        <f ca="1">IFERROR(INDEX(FixedItem[Item], MATCH(ROWS($J$2:$J80),FixedItem[frequency3], 0)),"")</f>
        <v>0</v>
      </c>
    </row>
    <row r="81" spans="1:11">
      <c r="A81" t="s">
        <v>3253</v>
      </c>
      <c r="B81" s="9">
        <v>2.02</v>
      </c>
      <c r="C81">
        <v>0</v>
      </c>
      <c r="D81">
        <v>0</v>
      </c>
      <c r="E81" s="9">
        <v>0</v>
      </c>
      <c r="F81">
        <f>--ISNUMBER(SEARCH('RC Checklist'!$H$8,A81))</f>
        <v>0</v>
      </c>
      <c r="G81" t="str">
        <f>IF(F81=1,COUNTIF($F$2:$F81,1),"")</f>
        <v/>
      </c>
      <c r="H81" t="str">
        <f>IFERROR(INDEX(FixedItem[Item], MATCH(ROWS($G$2:$G81),FixedItem[frequency], 0)),"")</f>
        <v>Window Seat - hardwood bench tops</v>
      </c>
      <c r="I81">
        <f>--ISNUMBER(SEARCH('RC Checklist'!$H$9,A81))</f>
        <v>0</v>
      </c>
      <c r="J81" t="str">
        <f>IF(I81=1,COUNTIF($J$2:$J81,1),"")</f>
        <v/>
      </c>
      <c r="K81">
        <f ca="1">IFERROR(INDEX(FixedItem[Item], MATCH(ROWS($J$2:$J81),FixedItem[frequency3], 0)),"")</f>
        <v>0</v>
      </c>
    </row>
    <row r="82" spans="1:11">
      <c r="A82" t="s">
        <v>3254</v>
      </c>
      <c r="B82" s="9">
        <v>439.54</v>
      </c>
      <c r="C82">
        <v>0</v>
      </c>
      <c r="D82">
        <v>0</v>
      </c>
      <c r="E82" s="9">
        <v>0</v>
      </c>
      <c r="F82">
        <f>--ISNUMBER(SEARCH('RC Checklist'!$H$8,A82))</f>
        <v>1</v>
      </c>
      <c r="G82">
        <f>IF(F82=1,COUNTIF($F$2:$F82,1),"")</f>
        <v>78</v>
      </c>
      <c r="H82" t="str">
        <f>IFERROR(INDEX(FixedItem[Item], MATCH(ROWS($G$2:$G82),FixedItem[frequency], 0)),"")</f>
        <v>Painter - per hour - stain bench tops</v>
      </c>
      <c r="I82">
        <f>--ISNUMBER(SEARCH('RC Checklist'!$H$9,A82))</f>
        <v>1</v>
      </c>
      <c r="J82">
        <f ca="1">IF(I82=1,COUNTIF($J$2:$J82,1),"")</f>
        <v>0</v>
      </c>
      <c r="K82">
        <f ca="1">IFERROR(INDEX(FixedItem[Item], MATCH(ROWS($J$2:$J82),FixedItem[frequency3], 0)),"")</f>
        <v>0</v>
      </c>
    </row>
    <row r="83" spans="1:11">
      <c r="A83" t="s">
        <v>3255</v>
      </c>
      <c r="B83" s="9">
        <v>48.85</v>
      </c>
      <c r="C83">
        <v>0</v>
      </c>
      <c r="D83">
        <v>0</v>
      </c>
      <c r="E83" s="9">
        <v>0</v>
      </c>
      <c r="F83">
        <f>--ISNUMBER(SEARCH('RC Checklist'!$H$8,A83))</f>
        <v>1</v>
      </c>
      <c r="G83">
        <f>IF(F83=1,COUNTIF($F$2:$F83,1),"")</f>
        <v>79</v>
      </c>
      <c r="H83" t="str">
        <f>IFERROR(INDEX(FixedItem[Item], MATCH(ROWS($G$2:$G83),FixedItem[frequency], 0)),"")</f>
        <v>2" x 4" x 10' #2 &amp; better fir/larch (material only)</v>
      </c>
      <c r="I83">
        <f>--ISNUMBER(SEARCH('RC Checklist'!$H$9,A83))</f>
        <v>1</v>
      </c>
      <c r="J83">
        <f ca="1">IF(I83=1,COUNTIF($J$2:$J83,1),"")</f>
        <v>0</v>
      </c>
      <c r="K83">
        <f ca="1">IFERROR(INDEX(FixedItem[Item], MATCH(ROWS($J$2:$J83),FixedItem[frequency3], 0)),"")</f>
        <v>0</v>
      </c>
    </row>
    <row r="84" spans="1:11">
      <c r="A84" t="s">
        <v>3256</v>
      </c>
      <c r="B84" s="9">
        <v>34.65</v>
      </c>
      <c r="C84">
        <v>0</v>
      </c>
      <c r="D84">
        <v>0</v>
      </c>
      <c r="E84" s="9">
        <v>0</v>
      </c>
      <c r="F84">
        <f>--ISNUMBER(SEARCH('RC Checklist'!$H$8,A84))</f>
        <v>1</v>
      </c>
      <c r="G84">
        <f>IF(F84=1,COUNTIF($F$2:$F84,1),"")</f>
        <v>80</v>
      </c>
      <c r="H84" t="str">
        <f>IFERROR(INDEX(FixedItem[Item], MATCH(ROWS($G$2:$G84),FixedItem[frequency], 0)),"")</f>
        <v>Carpenter - General framer - per hour</v>
      </c>
      <c r="I84">
        <f>--ISNUMBER(SEARCH('RC Checklist'!$H$9,A84))</f>
        <v>1</v>
      </c>
      <c r="J84">
        <f ca="1">IF(I84=1,COUNTIF($J$2:$J84,1),"")</f>
        <v>0</v>
      </c>
      <c r="K84">
        <f ca="1">IFERROR(INDEX(FixedItem[Item], MATCH(ROWS($J$2:$J84),FixedItem[frequency3], 0)),"")</f>
        <v>0</v>
      </c>
    </row>
    <row r="85" spans="1:11">
      <c r="A85" t="s">
        <v>3257</v>
      </c>
      <c r="B85" s="9">
        <v>65.069999999999993</v>
      </c>
      <c r="C85">
        <v>0</v>
      </c>
      <c r="D85">
        <v>0</v>
      </c>
      <c r="E85" s="9">
        <v>0</v>
      </c>
      <c r="F85">
        <f>--ISNUMBER(SEARCH('RC Checklist'!$H$8,A85))</f>
        <v>1</v>
      </c>
      <c r="G85">
        <f>IF(F85=1,COUNTIF($F$2:$F85,1),"")</f>
        <v>81</v>
      </c>
      <c r="H85" t="str">
        <f>IFERROR(INDEX(FixedItem[Item], MATCH(ROWS($G$2:$G85),FixedItem[frequency], 0)),"")</f>
        <v>Bypass (sliding) door set (lauan/mahogany)</v>
      </c>
      <c r="I85">
        <f>--ISNUMBER(SEARCH('RC Checklist'!$H$9,A85))</f>
        <v>1</v>
      </c>
      <c r="J85">
        <f ca="1">IF(I85=1,COUNTIF($J$2:$J85,1),"")</f>
        <v>0</v>
      </c>
      <c r="K85">
        <f ca="1">IFERROR(INDEX(FixedItem[Item], MATCH(ROWS($J$2:$J85),FixedItem[frequency3], 0)),"")</f>
        <v>0</v>
      </c>
    </row>
    <row r="86" spans="1:11">
      <c r="A86" t="s">
        <v>3258</v>
      </c>
      <c r="B86" s="9">
        <v>5.71</v>
      </c>
      <c r="C86">
        <v>0</v>
      </c>
      <c r="D86">
        <v>0</v>
      </c>
      <c r="E86" s="9">
        <v>0</v>
      </c>
      <c r="F86">
        <f>--ISNUMBER(SEARCH('RC Checklist'!$H$8,A86))</f>
        <v>1</v>
      </c>
      <c r="G86">
        <f>IF(F86=1,COUNTIF($F$2:$F86,1),"")</f>
        <v>82</v>
      </c>
      <c r="H86" t="str">
        <f>IFERROR(INDEX(FixedItem[Item], MATCH(ROWS($G$2:$G86),FixedItem[frequency], 0)),"")</f>
        <v/>
      </c>
      <c r="I86">
        <f>--ISNUMBER(SEARCH('RC Checklist'!$H$9,A86))</f>
        <v>1</v>
      </c>
      <c r="J86">
        <f ca="1">IF(I86=1,COUNTIF($J$2:$J86,1),"")</f>
        <v>0</v>
      </c>
      <c r="K86">
        <f ca="1">IFERROR(INDEX(FixedItem[Item], MATCH(ROWS($J$2:$J86),FixedItem[frequency3], 0)),"")</f>
        <v>0</v>
      </c>
    </row>
    <row r="87" spans="1:11">
      <c r="A87" t="s">
        <v>3259</v>
      </c>
      <c r="B87" s="9">
        <v>56.87</v>
      </c>
      <c r="C87">
        <v>0</v>
      </c>
      <c r="D87">
        <v>0</v>
      </c>
      <c r="E87" s="9">
        <v>0</v>
      </c>
      <c r="F87">
        <f>--ISNUMBER(SEARCH('RC Checklist'!$H$8,A87))</f>
        <v>1</v>
      </c>
      <c r="G87">
        <f>IF(F87=1,COUNTIF($F$2:$F87,1),"")</f>
        <v>83</v>
      </c>
      <c r="H87" t="str">
        <f>IFERROR(INDEX(FixedItem[Item], MATCH(ROWS($G$2:$G87),FixedItem[frequency], 0)),"")</f>
        <v/>
      </c>
      <c r="I87">
        <f>--ISNUMBER(SEARCH('RC Checklist'!$H$9,A87))</f>
        <v>1</v>
      </c>
      <c r="J87">
        <f ca="1">IF(I87=1,COUNTIF($J$2:$J87,1),"")</f>
        <v>0</v>
      </c>
      <c r="K87">
        <f ca="1">IFERROR(INDEX(FixedItem[Item], MATCH(ROWS($J$2:$J87),FixedItem[frequency3], 0)),"")</f>
        <v>0</v>
      </c>
    </row>
    <row r="88" spans="1:11">
      <c r="A88" t="s">
        <v>3260</v>
      </c>
      <c r="B88" s="9">
        <v>129.07</v>
      </c>
      <c r="C88">
        <v>0</v>
      </c>
      <c r="D88">
        <v>0</v>
      </c>
      <c r="E88" s="9">
        <v>0</v>
      </c>
      <c r="F88">
        <f>--ISNUMBER(SEARCH('RC Checklist'!$H$8,A88))</f>
        <v>1</v>
      </c>
      <c r="G88">
        <f>IF(F88=1,COUNTIF($F$2:$F88,1),"")</f>
        <v>84</v>
      </c>
      <c r="H88" t="str">
        <f>IFERROR(INDEX(FixedItem[Item], MATCH(ROWS($G$2:$G88),FixedItem[frequency], 0)),"")</f>
        <v/>
      </c>
      <c r="I88">
        <f>--ISNUMBER(SEARCH('RC Checklist'!$H$9,A88))</f>
        <v>1</v>
      </c>
      <c r="J88">
        <f ca="1">IF(I88=1,COUNTIF($J$2:$J88,1),"")</f>
        <v>0</v>
      </c>
      <c r="K88">
        <f ca="1">IFERROR(INDEX(FixedItem[Item], MATCH(ROWS($J$2:$J88),FixedItem[frequency3], 0)),"")</f>
        <v>0</v>
      </c>
    </row>
  </sheetData>
  <sheetProtection selectLockedCells="1" selectUnlockedCells="1"/>
  <phoneticPr fontId="4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CC00D-4E07-466D-8604-E9B7137042B3}">
  <sheetPr codeName="Sheet1"/>
  <dimension ref="A1:T35"/>
  <sheetViews>
    <sheetView workbookViewId="0">
      <selection activeCell="C2" sqref="C2"/>
    </sheetView>
  </sheetViews>
  <sheetFormatPr defaultRowHeight="15"/>
  <cols>
    <col min="1" max="1" width="19" bestFit="1" customWidth="1"/>
    <col min="2" max="2" width="15.7109375" customWidth="1"/>
    <col min="3" max="3" width="41" bestFit="1" customWidth="1"/>
    <col min="4" max="4" width="16.42578125" customWidth="1"/>
    <col min="5" max="5" width="2.28515625" customWidth="1"/>
    <col min="6" max="6" width="37.42578125" customWidth="1"/>
    <col min="7" max="7" width="11" customWidth="1"/>
    <col min="8" max="8" width="15.140625" style="9" bestFit="1" customWidth="1"/>
    <col min="9" max="9" width="15.140625" bestFit="1" customWidth="1"/>
    <col min="10" max="10" width="11.85546875" bestFit="1" customWidth="1"/>
    <col min="11" max="11" width="16.28515625" style="9" bestFit="1" customWidth="1"/>
    <col min="12" max="12" width="11.42578125" customWidth="1"/>
    <col min="13" max="13" width="12.42578125" style="9" bestFit="1" customWidth="1"/>
    <col min="14" max="14" width="12.42578125" style="9" customWidth="1"/>
    <col min="15" max="15" width="10.140625" bestFit="1" customWidth="1"/>
    <col min="16" max="16" width="37.42578125" customWidth="1"/>
    <col min="17" max="17" width="15.140625" bestFit="1" customWidth="1"/>
    <col min="18" max="18" width="17.7109375" bestFit="1" customWidth="1"/>
    <col min="19" max="19" width="20.42578125" bestFit="1" customWidth="1"/>
    <col min="20" max="20" width="18.140625" bestFit="1" customWidth="1"/>
    <col min="21" max="21" width="11.42578125" customWidth="1"/>
    <col min="22" max="22" width="9.140625" bestFit="1" customWidth="1"/>
  </cols>
  <sheetData>
    <row r="1" spans="1:20" ht="30">
      <c r="A1" s="8" t="s">
        <v>2922</v>
      </c>
      <c r="B1" s="74">
        <f>COUNTIF(Checklist[Visible?],B2)</f>
        <v>6</v>
      </c>
      <c r="C1" s="10" t="str">
        <f>CONCATENATE("Lump Sum Total Cost Without Taxes or Markup: ",DOLLAR(SUM(F2+P2)))</f>
        <v>Lump Sum Total Cost Without Taxes or Markup: $78.21</v>
      </c>
      <c r="D1" s="133"/>
      <c r="F1" s="10" t="s">
        <v>2979</v>
      </c>
      <c r="G1" s="13" t="s">
        <v>2935</v>
      </c>
      <c r="H1" s="14" t="s">
        <v>2936</v>
      </c>
      <c r="I1" s="13" t="s">
        <v>2938</v>
      </c>
      <c r="J1" s="13" t="s">
        <v>2939</v>
      </c>
      <c r="K1" s="14" t="s">
        <v>2940</v>
      </c>
      <c r="L1" s="13" t="s">
        <v>2941</v>
      </c>
      <c r="M1" s="14" t="s">
        <v>2942</v>
      </c>
      <c r="N1" s="14"/>
      <c r="O1" s="9"/>
      <c r="P1" s="10" t="s">
        <v>2978</v>
      </c>
      <c r="Q1" s="14" t="s">
        <v>2936</v>
      </c>
      <c r="R1" s="13"/>
      <c r="S1" s="14"/>
    </row>
    <row r="2" spans="1:20" ht="19.5">
      <c r="A2" s="10" t="s">
        <v>2923</v>
      </c>
      <c r="B2" s="73" t="s">
        <v>3003</v>
      </c>
      <c r="C2" s="12">
        <f>ROUNDUP(SUM(F2+P2+D10+D6),-1)</f>
        <v>100</v>
      </c>
      <c r="D2" s="10"/>
      <c r="F2" s="29">
        <f>SUM(I2,K2,M2)</f>
        <v>78.209999999999994</v>
      </c>
      <c r="G2" s="15">
        <f>SUM(UserTable[Quantity])</f>
        <v>30</v>
      </c>
      <c r="H2" s="16">
        <f>SUM(UserTable[Cost Per Item])</f>
        <v>71.099999999999994</v>
      </c>
      <c r="I2" s="16">
        <f>SUM(UserTable[Material Cost])*SUM(100%+C7)</f>
        <v>78.209999999999994</v>
      </c>
      <c r="J2" s="15" t="str">
        <f>CONCATENATE(SUM(UserTable[Hardware]), " pieces")</f>
        <v>0 pieces</v>
      </c>
      <c r="K2" s="16">
        <f>SUM(UserTable[Hardware Cost])</f>
        <v>0</v>
      </c>
      <c r="L2" s="17">
        <f>MROUND(SUM(UserTable[Labor],'RC Checklist'!K3),8)</f>
        <v>0</v>
      </c>
      <c r="M2" s="18">
        <f>SUM(UserTable[Labor Cost])</f>
        <v>0</v>
      </c>
      <c r="N2" s="72"/>
      <c r="P2" s="30">
        <f>SUM(VariableCost[Total with tax])*SUM(100%+C7)</f>
        <v>0</v>
      </c>
      <c r="Q2" s="16">
        <f>SUM(VariableCost[Cost of Item])</f>
        <v>0</v>
      </c>
      <c r="R2" s="15"/>
      <c r="S2" s="16"/>
    </row>
    <row r="3" spans="1:20">
      <c r="A3" s="22"/>
      <c r="B3" s="22"/>
      <c r="C3" s="22"/>
      <c r="D3" s="22"/>
      <c r="E3" s="22"/>
      <c r="F3" s="22"/>
      <c r="G3" s="22"/>
      <c r="H3" s="22"/>
      <c r="I3" s="22"/>
      <c r="J3" s="22"/>
      <c r="K3" s="22"/>
      <c r="L3" s="22"/>
      <c r="M3" s="22"/>
      <c r="N3" s="22"/>
      <c r="P3" s="22"/>
      <c r="Q3" s="22"/>
      <c r="R3" s="22"/>
      <c r="S3" s="22"/>
    </row>
    <row r="4" spans="1:20" ht="28.5">
      <c r="A4" s="204" t="s">
        <v>2919</v>
      </c>
      <c r="B4" s="204"/>
      <c r="C4" s="204"/>
      <c r="D4" s="22"/>
      <c r="E4" s="22"/>
      <c r="F4" s="204" t="s">
        <v>2924</v>
      </c>
      <c r="G4" s="204"/>
      <c r="H4" s="204"/>
      <c r="I4" s="204"/>
      <c r="J4" s="204"/>
      <c r="K4" s="204"/>
      <c r="L4" s="204"/>
      <c r="M4" s="204"/>
      <c r="N4" s="54"/>
      <c r="P4" s="204" t="s">
        <v>2974</v>
      </c>
      <c r="Q4" s="204"/>
      <c r="R4" s="204"/>
      <c r="S4" s="204"/>
    </row>
    <row r="5" spans="1:20">
      <c r="A5" s="10" t="s">
        <v>2920</v>
      </c>
      <c r="B5" s="20" t="s">
        <v>2933</v>
      </c>
      <c r="C5" s="8" t="str">
        <f>'RC Checklist'!G6</f>
        <v>Quote</v>
      </c>
      <c r="D5" s="22" t="s">
        <v>3059</v>
      </c>
      <c r="E5" s="22"/>
      <c r="F5" t="s">
        <v>2925</v>
      </c>
      <c r="G5" t="s">
        <v>2929</v>
      </c>
      <c r="H5" s="9" t="s">
        <v>2937</v>
      </c>
      <c r="I5" t="s">
        <v>2931</v>
      </c>
      <c r="J5" t="s">
        <v>2927</v>
      </c>
      <c r="K5" s="9" t="s">
        <v>2930</v>
      </c>
      <c r="L5" t="s">
        <v>2928</v>
      </c>
      <c r="M5" s="9" t="s">
        <v>2932</v>
      </c>
      <c r="N5" s="9" t="s">
        <v>3002</v>
      </c>
      <c r="P5" t="s">
        <v>2925</v>
      </c>
      <c r="Q5" s="9" t="s">
        <v>2975</v>
      </c>
      <c r="R5" t="s">
        <v>2929</v>
      </c>
      <c r="S5" t="s">
        <v>3126</v>
      </c>
      <c r="T5" t="s">
        <v>3127</v>
      </c>
    </row>
    <row r="6" spans="1:20">
      <c r="A6" s="10" t="s">
        <v>2934</v>
      </c>
      <c r="B6" s="20" t="s">
        <v>2933</v>
      </c>
      <c r="C6" s="25">
        <f>'RC Checklist'!G4</f>
        <v>75</v>
      </c>
      <c r="D6" s="134">
        <f>SUM(P2,I2)*'RC Checklist'!G3</f>
        <v>7.8209999999999997</v>
      </c>
      <c r="E6" s="22"/>
      <c r="F6" s="8" t="str">
        <f>'RC Checklist'!H8</f>
        <v xml:space="preserve"> </v>
      </c>
      <c r="G6" s="8">
        <f>'RC Checklist'!J8</f>
        <v>1</v>
      </c>
      <c r="H6" s="12">
        <f>IFERROR(VLOOKUP(F6, FixedItem[],2,FALSE),0)</f>
        <v>0</v>
      </c>
      <c r="I6" s="12">
        <f t="shared" ref="I6:I19" si="0">H6*G6</f>
        <v>0</v>
      </c>
      <c r="J6" s="10">
        <f>IFERROR(VLOOKUP(F6,FixedItem[],4,FALSE),0)</f>
        <v>0</v>
      </c>
      <c r="K6" s="12">
        <f>IFERROR(J6*VLOOKUP(F6, FixedItem[],5,FALSE)*UserTable[[#This Row],[Quantity]],0)</f>
        <v>0</v>
      </c>
      <c r="L6" s="10">
        <f>IFERROR(VLOOKUP(F6, FixedItem[],3,FALSE)*UserTable[[#This Row],[Quantity]],0)</f>
        <v>0</v>
      </c>
      <c r="M6" s="12">
        <f>UserTable[[#This Row],[Labor]]*$C$6</f>
        <v>0</v>
      </c>
      <c r="N6" s="12">
        <f>SUM(M6,K6,I6)</f>
        <v>0</v>
      </c>
      <c r="P6" s="8" t="str">
        <f>'RC Checklist'!H48</f>
        <v xml:space="preserve"> </v>
      </c>
      <c r="Q6" s="11">
        <f>'RC Checklist'!K48</f>
        <v>0</v>
      </c>
      <c r="R6" s="8">
        <f>'RC Checklist'!J48</f>
        <v>1</v>
      </c>
      <c r="S6" s="12">
        <f>VariableCost[[#This Row],[Quantity]]*VariableCost[[#This Row],[Cost of Item]]</f>
        <v>0</v>
      </c>
      <c r="T6" s="12">
        <f>($D$8)*(VariableCost[[#This Row],[Cost of Item]]*VariableCost[[#This Row],[Quantity]])</f>
        <v>0</v>
      </c>
    </row>
    <row r="7" spans="1:20">
      <c r="A7" s="10" t="s">
        <v>2976</v>
      </c>
      <c r="B7" s="20" t="s">
        <v>2933</v>
      </c>
      <c r="C7" s="99">
        <f>'RC Checklist'!G3</f>
        <v>0.1</v>
      </c>
      <c r="D7" s="22" t="s">
        <v>3118</v>
      </c>
      <c r="E7" s="22"/>
      <c r="F7" s="8" t="str">
        <f>'RC Checklist'!H9</f>
        <v xml:space="preserve"> </v>
      </c>
      <c r="G7" s="8">
        <f>'RC Checklist'!J9</f>
        <v>1</v>
      </c>
      <c r="H7" s="12">
        <f>IFERROR(VLOOKUP(F7, FixedItem[],2,FALSE),0)</f>
        <v>0</v>
      </c>
      <c r="I7" s="12">
        <f t="shared" si="0"/>
        <v>0</v>
      </c>
      <c r="J7" s="10">
        <f>IFERROR(VLOOKUP(F7,FixedItem[],4,FALSE),0)</f>
        <v>0</v>
      </c>
      <c r="K7" s="12">
        <f>IFERROR(J7*VLOOKUP(F7, FixedItem[],5,FALSE)*UserTable[[#This Row],[Quantity]],0)</f>
        <v>0</v>
      </c>
      <c r="L7" s="10">
        <f>IFERROR(VLOOKUP(F7, FixedItem[],3,FALSE)*UserTable[[#This Row],[Quantity]],0)</f>
        <v>0</v>
      </c>
      <c r="M7" s="12">
        <f>UserTable[[#This Row],[Labor]]*$C$6</f>
        <v>0</v>
      </c>
      <c r="N7" s="12">
        <f t="shared" ref="N7:N35" si="1">SUM(M7,K7,I7)</f>
        <v>0</v>
      </c>
      <c r="P7" s="8" t="str">
        <f>'RC Checklist'!H49</f>
        <v xml:space="preserve"> </v>
      </c>
      <c r="Q7" s="11">
        <f>'RC Checklist'!K49</f>
        <v>0</v>
      </c>
      <c r="R7" s="8">
        <f>'RC Checklist'!J49</f>
        <v>1</v>
      </c>
      <c r="S7" s="12">
        <f>VariableCost[[#This Row],[Quantity]]*VariableCost[[#This Row],[Cost of Item]]</f>
        <v>0</v>
      </c>
      <c r="T7" s="12">
        <f>($D$8)*(VariableCost[[#This Row],[Cost of Item]]*VariableCost[[#This Row],[Quantity]])</f>
        <v>0</v>
      </c>
    </row>
    <row r="8" spans="1:20">
      <c r="A8" s="10" t="s">
        <v>2977</v>
      </c>
      <c r="B8" s="20" t="s">
        <v>2933</v>
      </c>
      <c r="C8" s="28">
        <v>0</v>
      </c>
      <c r="D8" s="139">
        <f>'RC Checklist'!K4</f>
        <v>0.06</v>
      </c>
      <c r="E8" s="22"/>
      <c r="F8" s="8" t="str">
        <f>'RC Checklist'!H10</f>
        <v xml:space="preserve"> </v>
      </c>
      <c r="G8" s="8">
        <f>'RC Checklist'!J10</f>
        <v>1</v>
      </c>
      <c r="H8" s="12">
        <f>IFERROR(VLOOKUP(F8, FixedItem[],2,FALSE),0)</f>
        <v>0</v>
      </c>
      <c r="I8" s="12">
        <f t="shared" si="0"/>
        <v>0</v>
      </c>
      <c r="J8" s="10">
        <f>IFERROR(VLOOKUP(F8,FixedItem[],4,FALSE),0)</f>
        <v>0</v>
      </c>
      <c r="K8" s="12">
        <f>IFERROR(J8*VLOOKUP(F8, FixedItem[],5,FALSE)*UserTable[[#This Row],[Quantity]],0)</f>
        <v>0</v>
      </c>
      <c r="L8" s="10">
        <f>IFERROR(VLOOKUP(F8, FixedItem[],3,FALSE)*UserTable[[#This Row],[Quantity]],0)</f>
        <v>0</v>
      </c>
      <c r="M8" s="12">
        <f>UserTable[[#This Row],[Labor]]*$C$6</f>
        <v>0</v>
      </c>
      <c r="N8" s="12">
        <f t="shared" si="1"/>
        <v>0</v>
      </c>
      <c r="P8" s="8" t="str">
        <f>'RC Checklist'!H50</f>
        <v xml:space="preserve"> </v>
      </c>
      <c r="Q8" s="11">
        <f>'RC Checklist'!K50</f>
        <v>0</v>
      </c>
      <c r="R8" s="8">
        <f>'RC Checklist'!J50</f>
        <v>1</v>
      </c>
      <c r="S8" s="12">
        <f>VariableCost[[#This Row],[Quantity]]*VariableCost[[#This Row],[Cost of Item]]</f>
        <v>0</v>
      </c>
      <c r="T8" s="12">
        <f>($D$8)*(VariableCost[[#This Row],[Cost of Item]]*VariableCost[[#This Row],[Quantity]])</f>
        <v>0</v>
      </c>
    </row>
    <row r="9" spans="1:20">
      <c r="A9" s="10" t="s">
        <v>2943</v>
      </c>
      <c r="B9" s="210" t="str">
        <f>'RC Checklist'!G2</f>
        <v>*Client Name</v>
      </c>
      <c r="C9" s="210"/>
      <c r="D9" s="22" t="s">
        <v>3060</v>
      </c>
      <c r="E9" s="22"/>
      <c r="F9" s="8" t="str">
        <f>'RC Checklist'!H11</f>
        <v xml:space="preserve"> </v>
      </c>
      <c r="G9" s="8">
        <f>'RC Checklist'!J11</f>
        <v>1</v>
      </c>
      <c r="H9" s="12">
        <f>IFERROR(VLOOKUP(F9, FixedItem[],2,FALSE),0)</f>
        <v>0</v>
      </c>
      <c r="I9" s="12">
        <f t="shared" si="0"/>
        <v>0</v>
      </c>
      <c r="J9" s="10">
        <f>IFERROR(VLOOKUP(F9,FixedItem[],4,FALSE),0)</f>
        <v>0</v>
      </c>
      <c r="K9" s="12">
        <f>IFERROR(J9*VLOOKUP(F9, FixedItem[],5,FALSE)*UserTable[[#This Row],[Quantity]],0)</f>
        <v>0</v>
      </c>
      <c r="L9" s="10">
        <f>IFERROR(VLOOKUP(F9, FixedItem[],3,FALSE)*UserTable[[#This Row],[Quantity]],0)</f>
        <v>0</v>
      </c>
      <c r="M9" s="12">
        <f>UserTable[[#This Row],[Labor]]*$C$6</f>
        <v>0</v>
      </c>
      <c r="N9" s="12">
        <f t="shared" si="1"/>
        <v>0</v>
      </c>
      <c r="P9" s="8" t="str">
        <f>'RC Checklist'!H51</f>
        <v xml:space="preserve"> </v>
      </c>
      <c r="Q9" s="11">
        <f>'RC Checklist'!K51</f>
        <v>0</v>
      </c>
      <c r="R9" s="8">
        <f>'RC Checklist'!J51</f>
        <v>1</v>
      </c>
      <c r="S9" s="12">
        <f>VariableCost[[#This Row],[Quantity]]*VariableCost[[#This Row],[Cost of Item]]</f>
        <v>0</v>
      </c>
      <c r="T9" s="12">
        <f>($D$8)*(VariableCost[[#This Row],[Cost of Item]]*VariableCost[[#This Row],[Quantity]])</f>
        <v>0</v>
      </c>
    </row>
    <row r="10" spans="1:20">
      <c r="A10" s="10" t="s">
        <v>2970</v>
      </c>
      <c r="B10" s="211">
        <v>123456</v>
      </c>
      <c r="C10" s="211"/>
      <c r="D10" s="134">
        <f>ROUNDUP(SUM(T6:T20)+(I2*D8)+(K2*D8),-1)</f>
        <v>10</v>
      </c>
      <c r="E10" s="22"/>
      <c r="F10" s="8" t="str">
        <f>'RC Checklist'!H12</f>
        <v>Add for lazy susan</v>
      </c>
      <c r="G10" s="8">
        <f>'RC Checklist'!J12</f>
        <v>1</v>
      </c>
      <c r="H10" s="12">
        <f>IFERROR(VLOOKUP(F10, FixedItem[],2,FALSE),0)</f>
        <v>71.099999999999994</v>
      </c>
      <c r="I10" s="12">
        <f t="shared" si="0"/>
        <v>71.099999999999994</v>
      </c>
      <c r="J10" s="10">
        <f>IFERROR(VLOOKUP(F10,FixedItem[],4,FALSE),0)</f>
        <v>0</v>
      </c>
      <c r="K10" s="12">
        <f>IFERROR(J10*VLOOKUP(F10, FixedItem[],5,FALSE)*UserTable[[#This Row],[Quantity]],0)</f>
        <v>0</v>
      </c>
      <c r="L10" s="10">
        <f>IFERROR(VLOOKUP(F10, FixedItem[],3,FALSE)*UserTable[[#This Row],[Quantity]],0)</f>
        <v>0</v>
      </c>
      <c r="M10" s="12">
        <f>UserTable[[#This Row],[Labor]]*$C$6</f>
        <v>0</v>
      </c>
      <c r="N10" s="12">
        <f t="shared" si="1"/>
        <v>71.099999999999994</v>
      </c>
      <c r="P10" s="8" t="str">
        <f>'RC Checklist'!H52</f>
        <v xml:space="preserve"> </v>
      </c>
      <c r="Q10" s="11">
        <f>'RC Checklist'!K52</f>
        <v>0</v>
      </c>
      <c r="R10" s="8">
        <f>'RC Checklist'!J52</f>
        <v>1</v>
      </c>
      <c r="S10" s="12">
        <f>VariableCost[[#This Row],[Quantity]]*VariableCost[[#This Row],[Cost of Item]]</f>
        <v>0</v>
      </c>
      <c r="T10" s="12">
        <f>($D$8)*(VariableCost[[#This Row],[Cost of Item]]*VariableCost[[#This Row],[Quantity]])</f>
        <v>0</v>
      </c>
    </row>
    <row r="11" spans="1:20">
      <c r="A11" s="10" t="s">
        <v>2971</v>
      </c>
      <c r="B11" s="221" t="s">
        <v>2984</v>
      </c>
      <c r="C11" s="222"/>
      <c r="D11" s="22" t="s">
        <v>3119</v>
      </c>
      <c r="E11" s="22"/>
      <c r="F11" s="8" t="str">
        <f>'RC Checklist'!H13</f>
        <v xml:space="preserve"> </v>
      </c>
      <c r="G11" s="8">
        <f>'RC Checklist'!J13</f>
        <v>1</v>
      </c>
      <c r="H11" s="12">
        <f>IFERROR(VLOOKUP(F11, FixedItem[],2,FALSE),0)</f>
        <v>0</v>
      </c>
      <c r="I11" s="12">
        <f t="shared" si="0"/>
        <v>0</v>
      </c>
      <c r="J11" s="10">
        <f>IFERROR(VLOOKUP(F11,FixedItem[],4,FALSE),0)</f>
        <v>0</v>
      </c>
      <c r="K11" s="12">
        <f>IFERROR(J11*VLOOKUP(F11, FixedItem[],5,FALSE)*UserTable[[#This Row],[Quantity]],0)</f>
        <v>0</v>
      </c>
      <c r="L11" s="10">
        <f>IFERROR(VLOOKUP(F11, FixedItem[],3,FALSE)*UserTable[[#This Row],[Quantity]],0)</f>
        <v>0</v>
      </c>
      <c r="M11" s="12">
        <f>UserTable[[#This Row],[Labor]]*$C$6</f>
        <v>0</v>
      </c>
      <c r="N11" s="12">
        <f t="shared" si="1"/>
        <v>0</v>
      </c>
      <c r="P11" s="8" t="str">
        <f>'RC Checklist'!H53</f>
        <v xml:space="preserve"> </v>
      </c>
      <c r="Q11" s="11">
        <f>'RC Checklist'!K53</f>
        <v>0</v>
      </c>
      <c r="R11" s="8">
        <f>'RC Checklist'!J53</f>
        <v>1</v>
      </c>
      <c r="S11" s="12">
        <f>VariableCost[[#This Row],[Quantity]]*VariableCost[[#This Row],[Cost of Item]]</f>
        <v>0</v>
      </c>
      <c r="T11" s="12">
        <f>($D$8)*(VariableCost[[#This Row],[Cost of Item]]*VariableCost[[#This Row],[Quantity]])</f>
        <v>0</v>
      </c>
    </row>
    <row r="12" spans="1:20" ht="15" customHeight="1">
      <c r="A12" s="10" t="s">
        <v>2983</v>
      </c>
      <c r="B12" s="223"/>
      <c r="C12" s="224"/>
      <c r="D12" s="138">
        <f>IFERROR(VLOOKUP('RC Checklist'!G2,ClientInfo[],11,FALSE),"MD")</f>
        <v>0</v>
      </c>
      <c r="E12" s="22"/>
      <c r="F12" s="8" t="str">
        <f>'RC Checklist'!H14</f>
        <v xml:space="preserve"> </v>
      </c>
      <c r="G12" s="8">
        <f>'RC Checklist'!J14</f>
        <v>1</v>
      </c>
      <c r="H12" s="12">
        <f>IFERROR(VLOOKUP(F12, FixedItem[],2,FALSE),0)</f>
        <v>0</v>
      </c>
      <c r="I12" s="12">
        <f t="shared" si="0"/>
        <v>0</v>
      </c>
      <c r="J12" s="10">
        <f>IFERROR(VLOOKUP(F12,FixedItem[],4,FALSE),0)</f>
        <v>0</v>
      </c>
      <c r="K12" s="12">
        <f>IFERROR(J12*VLOOKUP(F12, FixedItem[],5,FALSE)*UserTable[[#This Row],[Quantity]],0)</f>
        <v>0</v>
      </c>
      <c r="L12" s="10">
        <f>IFERROR(VLOOKUP(F12, FixedItem[],3,FALSE)*UserTable[[#This Row],[Quantity]],0)</f>
        <v>0</v>
      </c>
      <c r="M12" s="12">
        <f>UserTable[[#This Row],[Labor]]*$C$6</f>
        <v>0</v>
      </c>
      <c r="N12" s="12">
        <f t="shared" si="1"/>
        <v>0</v>
      </c>
      <c r="P12" s="8" t="str">
        <f>'RC Checklist'!H54</f>
        <v xml:space="preserve"> </v>
      </c>
      <c r="Q12" s="11">
        <f>'RC Checklist'!K54</f>
        <v>0</v>
      </c>
      <c r="R12" s="8">
        <f>'RC Checklist'!J54</f>
        <v>1</v>
      </c>
      <c r="S12" s="12">
        <f>VariableCost[[#This Row],[Quantity]]*VariableCost[[#This Row],[Cost of Item]]</f>
        <v>0</v>
      </c>
      <c r="T12" s="12">
        <f>($D$8)*(VariableCost[[#This Row],[Cost of Item]]*VariableCost[[#This Row],[Quantity]])</f>
        <v>0</v>
      </c>
    </row>
    <row r="13" spans="1:20">
      <c r="A13" s="10" t="s">
        <v>2944</v>
      </c>
      <c r="B13" s="10"/>
      <c r="C13" s="10"/>
      <c r="D13" s="22"/>
      <c r="E13" s="22"/>
      <c r="F13" s="8" t="str">
        <f>'RC Checklist'!H15</f>
        <v xml:space="preserve"> </v>
      </c>
      <c r="G13" s="8">
        <f>'RC Checklist'!J15</f>
        <v>1</v>
      </c>
      <c r="H13" s="12">
        <f>IFERROR(VLOOKUP(F13, FixedItem[],2,FALSE),0)</f>
        <v>0</v>
      </c>
      <c r="I13" s="12">
        <f t="shared" si="0"/>
        <v>0</v>
      </c>
      <c r="J13" s="10">
        <f>IFERROR(VLOOKUP(F13,FixedItem[],4,FALSE),0)</f>
        <v>0</v>
      </c>
      <c r="K13" s="12">
        <f>IFERROR(J13*VLOOKUP(F13, FixedItem[],5,FALSE)*UserTable[[#This Row],[Quantity]],0)</f>
        <v>0</v>
      </c>
      <c r="L13" s="10">
        <f>IFERROR(VLOOKUP(F13, FixedItem[],3,FALSE)*UserTable[[#This Row],[Quantity]],0)</f>
        <v>0</v>
      </c>
      <c r="M13" s="12">
        <f>UserTable[[#This Row],[Labor]]*$C$6</f>
        <v>0</v>
      </c>
      <c r="N13" s="12">
        <f t="shared" si="1"/>
        <v>0</v>
      </c>
      <c r="P13" s="8" t="str">
        <f>'RC Checklist'!H55</f>
        <v xml:space="preserve"> </v>
      </c>
      <c r="Q13" s="11">
        <f>'RC Checklist'!K55</f>
        <v>0</v>
      </c>
      <c r="R13" s="8">
        <f>'RC Checklist'!J55</f>
        <v>1</v>
      </c>
      <c r="S13" s="12">
        <f>VariableCost[[#This Row],[Quantity]]*VariableCost[[#This Row],[Cost of Item]]</f>
        <v>0</v>
      </c>
      <c r="T13" s="12">
        <f>($D$8)*(VariableCost[[#This Row],[Cost of Item]]*VariableCost[[#This Row],[Quantity]])</f>
        <v>0</v>
      </c>
    </row>
    <row r="14" spans="1:20">
      <c r="A14" s="225" t="str">
        <f>_xlfn.CONCAT(VLOOKUP(B9,ClientInfo[],9,FALSE),", ", VLOOKUP(B9,ClientInfo[],10,FALSE), ", ", VLOOKUP(B9,ClientInfo[],11,FALSE), " ",VLOOKUP(B9,ClientInfo[],12,FALSE))</f>
        <v xml:space="preserve">, ,  </v>
      </c>
      <c r="B14" s="225"/>
      <c r="C14" s="225"/>
      <c r="D14" s="22"/>
      <c r="E14" s="22"/>
      <c r="F14" s="8" t="str">
        <f>'RC Checklist'!H16</f>
        <v xml:space="preserve"> </v>
      </c>
      <c r="G14" s="8">
        <f>'RC Checklist'!J16</f>
        <v>1</v>
      </c>
      <c r="H14" s="12">
        <f>IFERROR(VLOOKUP(F14, FixedItem[],2,FALSE),0)</f>
        <v>0</v>
      </c>
      <c r="I14" s="12">
        <f t="shared" si="0"/>
        <v>0</v>
      </c>
      <c r="J14" s="10">
        <f>IFERROR(VLOOKUP(F14,FixedItem[],4,FALSE),0)</f>
        <v>0</v>
      </c>
      <c r="K14" s="12">
        <f>IFERROR(J14*VLOOKUP(F14, FixedItem[],5,FALSE)*UserTable[[#This Row],[Quantity]],0)</f>
        <v>0</v>
      </c>
      <c r="L14" s="10">
        <f>IFERROR(VLOOKUP(F14, FixedItem[],3,FALSE)*UserTable[[#This Row],[Quantity]],0)</f>
        <v>0</v>
      </c>
      <c r="M14" s="12">
        <f>UserTable[[#This Row],[Labor]]*$C$6</f>
        <v>0</v>
      </c>
      <c r="N14" s="12">
        <f t="shared" si="1"/>
        <v>0</v>
      </c>
      <c r="P14" s="8" t="str">
        <f>'RC Checklist'!H56</f>
        <v xml:space="preserve"> </v>
      </c>
      <c r="Q14" s="11">
        <f>'RC Checklist'!K56</f>
        <v>0</v>
      </c>
      <c r="R14" s="8">
        <f>'RC Checklist'!J56</f>
        <v>1</v>
      </c>
      <c r="S14" s="12">
        <f>VariableCost[[#This Row],[Quantity]]*VariableCost[[#This Row],[Cost of Item]]</f>
        <v>0</v>
      </c>
      <c r="T14" s="12">
        <f>($D$8)*(VariableCost[[#This Row],[Cost of Item]]*VariableCost[[#This Row],[Quantity]])</f>
        <v>0</v>
      </c>
    </row>
    <row r="15" spans="1:20">
      <c r="A15" s="225"/>
      <c r="B15" s="225"/>
      <c r="C15" s="225"/>
      <c r="D15" s="22"/>
      <c r="E15" s="22"/>
      <c r="F15" s="8" t="str">
        <f>'RC Checklist'!H17</f>
        <v xml:space="preserve"> </v>
      </c>
      <c r="G15" s="8">
        <f>'RC Checklist'!J17</f>
        <v>1</v>
      </c>
      <c r="H15" s="12">
        <f>IFERROR(VLOOKUP(F15, FixedItem[],2,FALSE),0)</f>
        <v>0</v>
      </c>
      <c r="I15" s="12">
        <f t="shared" si="0"/>
        <v>0</v>
      </c>
      <c r="J15" s="10">
        <f>IFERROR(VLOOKUP(F15,FixedItem[],4,FALSE),0)</f>
        <v>0</v>
      </c>
      <c r="K15" s="12">
        <f>IFERROR(J15*VLOOKUP(F15, FixedItem[],5,FALSE)*UserTable[[#This Row],[Quantity]],0)</f>
        <v>0</v>
      </c>
      <c r="L15" s="10">
        <f>IFERROR(VLOOKUP(F15, FixedItem[],3,FALSE)*UserTable[[#This Row],[Quantity]],0)</f>
        <v>0</v>
      </c>
      <c r="M15" s="12">
        <f>UserTable[[#This Row],[Labor]]*$C$6</f>
        <v>0</v>
      </c>
      <c r="N15" s="12">
        <f t="shared" si="1"/>
        <v>0</v>
      </c>
      <c r="P15" s="8" t="str">
        <f>'RC Checklist'!H57</f>
        <v xml:space="preserve"> </v>
      </c>
      <c r="Q15" s="11">
        <f>'RC Checklist'!K57</f>
        <v>0</v>
      </c>
      <c r="R15" s="8">
        <f>'RC Checklist'!J57</f>
        <v>1</v>
      </c>
      <c r="S15" s="12">
        <f>VariableCost[[#This Row],[Quantity]]*VariableCost[[#This Row],[Cost of Item]]</f>
        <v>0</v>
      </c>
      <c r="T15" s="12">
        <f>($D$8)*(VariableCost[[#This Row],[Cost of Item]]*VariableCost[[#This Row],[Quantity]])</f>
        <v>0</v>
      </c>
    </row>
    <row r="16" spans="1:20">
      <c r="A16" s="10" t="s">
        <v>2948</v>
      </c>
      <c r="B16" s="226">
        <f>VLOOKUP(B9,ClientInfo[],6,FALSE)</f>
        <v>4438765309</v>
      </c>
      <c r="C16" s="226"/>
      <c r="D16" s="22"/>
      <c r="E16" s="22"/>
      <c r="F16" s="8" t="str">
        <f>'RC Checklist'!H18</f>
        <v xml:space="preserve"> </v>
      </c>
      <c r="G16" s="8">
        <f>'RC Checklist'!J18</f>
        <v>1</v>
      </c>
      <c r="H16" s="12">
        <f>IFERROR(VLOOKUP(F16, FixedItem[],2,FALSE),0)</f>
        <v>0</v>
      </c>
      <c r="I16" s="12">
        <f t="shared" si="0"/>
        <v>0</v>
      </c>
      <c r="J16" s="10">
        <f>IFERROR(VLOOKUP(F16,FixedItem[],4,FALSE),0)</f>
        <v>0</v>
      </c>
      <c r="K16" s="12">
        <f>IFERROR(J16*VLOOKUP(F16, FixedItem[],5,FALSE)*UserTable[[#This Row],[Quantity]],0)</f>
        <v>0</v>
      </c>
      <c r="L16" s="10">
        <f>IFERROR(VLOOKUP(F16, FixedItem[],3,FALSE)*UserTable[[#This Row],[Quantity]],0)</f>
        <v>0</v>
      </c>
      <c r="M16" s="12">
        <f>UserTable[[#This Row],[Labor]]*$C$6</f>
        <v>0</v>
      </c>
      <c r="N16" s="12">
        <f t="shared" si="1"/>
        <v>0</v>
      </c>
      <c r="P16" s="8" t="str">
        <f>'RC Checklist'!H58</f>
        <v xml:space="preserve"> </v>
      </c>
      <c r="Q16" s="11">
        <f>'RC Checklist'!K58</f>
        <v>0</v>
      </c>
      <c r="R16" s="8">
        <f>'RC Checklist'!J58</f>
        <v>1</v>
      </c>
      <c r="S16" s="12">
        <f>VariableCost[[#This Row],[Quantity]]*VariableCost[[#This Row],[Cost of Item]]</f>
        <v>0</v>
      </c>
      <c r="T16" s="12">
        <f>($D$8)*(VariableCost[[#This Row],[Cost of Item]]*VariableCost[[#This Row],[Quantity]])</f>
        <v>0</v>
      </c>
    </row>
    <row r="17" spans="1:20">
      <c r="A17" s="10" t="s">
        <v>2949</v>
      </c>
      <c r="B17" s="226">
        <f>VLOOKUP(B9,ClientInfo[],7,FALSE)</f>
        <v>4108765309</v>
      </c>
      <c r="C17" s="226"/>
      <c r="D17" s="22"/>
      <c r="E17" s="22"/>
      <c r="F17" s="8" t="str">
        <f>'RC Checklist'!H19</f>
        <v xml:space="preserve"> </v>
      </c>
      <c r="G17" s="8">
        <f>'RC Checklist'!J19</f>
        <v>1</v>
      </c>
      <c r="H17" s="12">
        <f>IFERROR(VLOOKUP(F17, FixedItem[],2,FALSE),0)</f>
        <v>0</v>
      </c>
      <c r="I17" s="12">
        <f t="shared" si="0"/>
        <v>0</v>
      </c>
      <c r="J17" s="10">
        <f>IFERROR(VLOOKUP(F17,FixedItem[],4,FALSE),0)</f>
        <v>0</v>
      </c>
      <c r="K17" s="12">
        <f>IFERROR(J17*VLOOKUP(F17, FixedItem[],5,FALSE)*UserTable[[#This Row],[Quantity]],0)</f>
        <v>0</v>
      </c>
      <c r="L17" s="10">
        <f>IFERROR(VLOOKUP(F17, FixedItem[],3,FALSE)*UserTable[[#This Row],[Quantity]],0)</f>
        <v>0</v>
      </c>
      <c r="M17" s="12">
        <f>UserTable[[#This Row],[Labor]]*$C$6</f>
        <v>0</v>
      </c>
      <c r="N17" s="12">
        <f t="shared" si="1"/>
        <v>0</v>
      </c>
      <c r="P17" s="8" t="str">
        <f>'RC Checklist'!H59</f>
        <v xml:space="preserve"> </v>
      </c>
      <c r="Q17" s="11">
        <f>'RC Checklist'!K59</f>
        <v>0</v>
      </c>
      <c r="R17" s="8">
        <f>'RC Checklist'!J59</f>
        <v>1</v>
      </c>
      <c r="S17" s="12">
        <f>VariableCost[[#This Row],[Quantity]]*VariableCost[[#This Row],[Cost of Item]]</f>
        <v>0</v>
      </c>
      <c r="T17" s="12">
        <f>($D$8)*(VariableCost[[#This Row],[Cost of Item]]*VariableCost[[#This Row],[Quantity]])</f>
        <v>0</v>
      </c>
    </row>
    <row r="18" spans="1:20">
      <c r="A18" s="10" t="s">
        <v>3</v>
      </c>
      <c r="B18" s="227" t="str">
        <f>VLOOKUP(B9,ClientInfo[],8,FALSE)</f>
        <v>db@dabomb.com</v>
      </c>
      <c r="C18" s="227"/>
      <c r="D18" s="22"/>
      <c r="E18" s="22"/>
      <c r="F18" s="8" t="str">
        <f>'RC Checklist'!H20</f>
        <v xml:space="preserve"> </v>
      </c>
      <c r="G18" s="8">
        <f>'RC Checklist'!J20</f>
        <v>1</v>
      </c>
      <c r="H18" s="12">
        <f>IFERROR(VLOOKUP(F18, FixedItem[],2,FALSE),0)</f>
        <v>0</v>
      </c>
      <c r="I18" s="12">
        <f t="shared" si="0"/>
        <v>0</v>
      </c>
      <c r="J18" s="10">
        <f>IFERROR(VLOOKUP(F18,FixedItem[],4,FALSE),0)</f>
        <v>0</v>
      </c>
      <c r="K18" s="12">
        <f>IFERROR(J18*VLOOKUP(F18, FixedItem[],5,FALSE)*UserTable[[#This Row],[Quantity]],0)</f>
        <v>0</v>
      </c>
      <c r="L18" s="10">
        <f>IFERROR(VLOOKUP(F18, FixedItem[],3,FALSE)*UserTable[[#This Row],[Quantity]],0)</f>
        <v>0</v>
      </c>
      <c r="M18" s="12">
        <f>UserTable[[#This Row],[Labor]]*$C$6</f>
        <v>0</v>
      </c>
      <c r="N18" s="12">
        <f t="shared" si="1"/>
        <v>0</v>
      </c>
      <c r="P18" s="8" t="str">
        <f>'RC Checklist'!H60</f>
        <v xml:space="preserve"> </v>
      </c>
      <c r="Q18" s="11">
        <f>'RC Checklist'!K60</f>
        <v>0</v>
      </c>
      <c r="R18" s="8">
        <f>'RC Checklist'!J60</f>
        <v>1</v>
      </c>
      <c r="S18" s="12">
        <f>VariableCost[[#This Row],[Quantity]]*VariableCost[[#This Row],[Cost of Item]]</f>
        <v>0</v>
      </c>
      <c r="T18" s="12">
        <f>($D$8)*(VariableCost[[#This Row],[Cost of Item]]*VariableCost[[#This Row],[Quantity]])</f>
        <v>0</v>
      </c>
    </row>
    <row r="19" spans="1:20">
      <c r="A19" s="212" t="str">
        <f>_xlfn.CONCAT("Notes on Customer: ",VLOOKUP(B9,ClientInfo[],16,FALSE))</f>
        <v>Notes on Customer: Cool stuff happening here</v>
      </c>
      <c r="B19" s="213"/>
      <c r="C19" s="214"/>
      <c r="D19" s="22"/>
      <c r="E19" s="22"/>
      <c r="F19" s="8" t="str">
        <f>'RC Checklist'!H21</f>
        <v xml:space="preserve"> </v>
      </c>
      <c r="G19" s="8">
        <f>'RC Checklist'!J21</f>
        <v>1</v>
      </c>
      <c r="H19" s="12">
        <f>IFERROR(VLOOKUP(F19, FixedItem[],2,FALSE),0)</f>
        <v>0</v>
      </c>
      <c r="I19" s="12">
        <f t="shared" si="0"/>
        <v>0</v>
      </c>
      <c r="J19" s="10">
        <f>IFERROR(VLOOKUP(F19,FixedItem[],4,FALSE),0)</f>
        <v>0</v>
      </c>
      <c r="K19" s="12">
        <f>IFERROR(J19*VLOOKUP(F19, FixedItem[],5,FALSE)*UserTable[[#This Row],[Quantity]],0)</f>
        <v>0</v>
      </c>
      <c r="L19" s="10">
        <f>IFERROR(VLOOKUP(F19, FixedItem[],3,FALSE)*UserTable[[#This Row],[Quantity]],0)</f>
        <v>0</v>
      </c>
      <c r="M19" s="12">
        <f>UserTable[[#This Row],[Labor]]*$C$6</f>
        <v>0</v>
      </c>
      <c r="N19" s="12">
        <f t="shared" si="1"/>
        <v>0</v>
      </c>
      <c r="P19" s="8" t="str">
        <f>'RC Checklist'!H61</f>
        <v xml:space="preserve"> </v>
      </c>
      <c r="Q19" s="11">
        <f>'RC Checklist'!K61</f>
        <v>0</v>
      </c>
      <c r="R19" s="8">
        <f>'RC Checklist'!J61</f>
        <v>1</v>
      </c>
      <c r="S19" s="12">
        <f>VariableCost[[#This Row],[Quantity]]*VariableCost[[#This Row],[Cost of Item]]</f>
        <v>0</v>
      </c>
      <c r="T19" s="12">
        <f>($D$8)*(VariableCost[[#This Row],[Cost of Item]]*VariableCost[[#This Row],[Quantity]])</f>
        <v>0</v>
      </c>
    </row>
    <row r="20" spans="1:20">
      <c r="A20" s="215"/>
      <c r="B20" s="216"/>
      <c r="C20" s="217"/>
      <c r="D20" s="22"/>
      <c r="E20" s="22"/>
      <c r="F20" s="8" t="str">
        <f>'RC Checklist'!H22</f>
        <v xml:space="preserve"> </v>
      </c>
      <c r="G20" s="8">
        <f>'RC Checklist'!J22</f>
        <v>1</v>
      </c>
      <c r="H20" s="12">
        <f>IFERROR(VLOOKUP(F20, FixedItem[],2,FALSE),0)</f>
        <v>0</v>
      </c>
      <c r="I20" s="12">
        <f t="shared" ref="I20:I34" si="2">H20*G20</f>
        <v>0</v>
      </c>
      <c r="J20" s="10">
        <f>IFERROR(VLOOKUP(F20,FixedItem[],4,FALSE),0)</f>
        <v>0</v>
      </c>
      <c r="K20" s="12">
        <f>IFERROR(J20*VLOOKUP(F20, FixedItem[],5,FALSE)*UserTable[[#This Row],[Quantity]],0)</f>
        <v>0</v>
      </c>
      <c r="L20" s="10">
        <f>IFERROR(VLOOKUP(F20, FixedItem[],3,FALSE)*UserTable[[#This Row],[Quantity]],0)</f>
        <v>0</v>
      </c>
      <c r="M20" s="12">
        <f>UserTable[[#This Row],[Labor]]*$C$6</f>
        <v>0</v>
      </c>
      <c r="N20" s="12">
        <f t="shared" si="1"/>
        <v>0</v>
      </c>
      <c r="P20" s="8" t="str">
        <f>'RC Checklist'!H62</f>
        <v xml:space="preserve"> </v>
      </c>
      <c r="Q20" s="11">
        <f>'RC Checklist'!K62</f>
        <v>0</v>
      </c>
      <c r="R20" s="8">
        <f>'RC Checklist'!J62</f>
        <v>1</v>
      </c>
      <c r="S20" s="12">
        <f>VariableCost[[#This Row],[Quantity]]*VariableCost[[#This Row],[Cost of Item]]</f>
        <v>0</v>
      </c>
      <c r="T20" s="12">
        <f>($D$8)*(VariableCost[[#This Row],[Cost of Item]]*VariableCost[[#This Row],[Quantity]])</f>
        <v>0</v>
      </c>
    </row>
    <row r="21" spans="1:20">
      <c r="A21" s="215"/>
      <c r="B21" s="216"/>
      <c r="C21" s="217"/>
      <c r="D21" s="22"/>
      <c r="E21" s="22"/>
      <c r="F21" s="8" t="str">
        <f>'RC Checklist'!H23</f>
        <v xml:space="preserve"> </v>
      </c>
      <c r="G21" s="8">
        <f>'RC Checklist'!J23</f>
        <v>1</v>
      </c>
      <c r="H21" s="12">
        <f>IFERROR(VLOOKUP(F21, FixedItem[],2,FALSE),0)</f>
        <v>0</v>
      </c>
      <c r="I21" s="12">
        <f t="shared" si="2"/>
        <v>0</v>
      </c>
      <c r="J21" s="10">
        <f>IFERROR(VLOOKUP(F21,FixedItem[],4,FALSE),0)</f>
        <v>0</v>
      </c>
      <c r="K21" s="12">
        <f>IFERROR(J21*VLOOKUP(F21, FixedItem[],5,FALSE)*UserTable[[#This Row],[Quantity]],0)</f>
        <v>0</v>
      </c>
      <c r="L21" s="10">
        <f>IFERROR(VLOOKUP(F21, FixedItem[],3,FALSE)*UserTable[[#This Row],[Quantity]],0)</f>
        <v>0</v>
      </c>
      <c r="M21" s="12">
        <f>UserTable[[#This Row],[Labor]]*$C$6</f>
        <v>0</v>
      </c>
      <c r="N21" s="12">
        <f t="shared" si="1"/>
        <v>0</v>
      </c>
      <c r="P21" s="8" t="str">
        <f>'RC Checklist'!H63</f>
        <v xml:space="preserve"> </v>
      </c>
      <c r="Q21" s="11">
        <f>'RC Checklist'!K63</f>
        <v>0</v>
      </c>
      <c r="R21" s="8">
        <f>'RC Checklist'!J63</f>
        <v>1</v>
      </c>
      <c r="S21" s="12">
        <f>VariableCost[[#This Row],[Quantity]]*VariableCost[[#This Row],[Cost of Item]]</f>
        <v>0</v>
      </c>
      <c r="T21" s="9"/>
    </row>
    <row r="22" spans="1:20">
      <c r="A22" s="218"/>
      <c r="B22" s="219"/>
      <c r="C22" s="220"/>
      <c r="D22" s="22"/>
      <c r="E22" s="22"/>
      <c r="F22" s="8" t="str">
        <f>'RC Checklist'!H24</f>
        <v xml:space="preserve"> </v>
      </c>
      <c r="G22" s="8">
        <f>'RC Checklist'!J24</f>
        <v>1</v>
      </c>
      <c r="H22" s="12">
        <f>IFERROR(VLOOKUP(F22, FixedItem[],2,FALSE),0)</f>
        <v>0</v>
      </c>
      <c r="I22" s="12">
        <f t="shared" si="2"/>
        <v>0</v>
      </c>
      <c r="J22" s="10">
        <f>IFERROR(VLOOKUP(F22,FixedItem[],4,FALSE),0)</f>
        <v>0</v>
      </c>
      <c r="K22" s="12">
        <f>IFERROR(J22*VLOOKUP(F22, FixedItem[],5,FALSE)*UserTable[[#This Row],[Quantity]],0)</f>
        <v>0</v>
      </c>
      <c r="L22" s="10">
        <f>IFERROR(VLOOKUP(F22, FixedItem[],3,FALSE)*UserTable[[#This Row],[Quantity]],0)</f>
        <v>0</v>
      </c>
      <c r="M22" s="12">
        <f>UserTable[[#This Row],[Labor]]*$C$6</f>
        <v>0</v>
      </c>
      <c r="N22" s="12">
        <f t="shared" si="1"/>
        <v>0</v>
      </c>
      <c r="P22" s="8" t="str">
        <f>'RC Checklist'!H64</f>
        <v xml:space="preserve"> </v>
      </c>
      <c r="Q22" s="11">
        <f>'RC Checklist'!K64</f>
        <v>0</v>
      </c>
      <c r="R22" s="8">
        <f>'RC Checklist'!J64</f>
        <v>1</v>
      </c>
      <c r="S22" s="12">
        <f>VariableCost[[#This Row],[Quantity]]*VariableCost[[#This Row],[Cost of Item]]</f>
        <v>0</v>
      </c>
      <c r="T22" s="9"/>
    </row>
    <row r="23" spans="1:20" ht="28.5">
      <c r="A23" s="204" t="s">
        <v>2972</v>
      </c>
      <c r="B23" s="204"/>
      <c r="C23" s="204"/>
      <c r="D23" s="204"/>
      <c r="E23" s="22"/>
      <c r="F23" s="8" t="str">
        <f>'RC Checklist'!H25</f>
        <v xml:space="preserve"> </v>
      </c>
      <c r="G23" s="8">
        <f>'RC Checklist'!J25</f>
        <v>1</v>
      </c>
      <c r="H23" s="12">
        <f>IFERROR(VLOOKUP(F23, FixedItem[],2,FALSE),0)</f>
        <v>0</v>
      </c>
      <c r="I23" s="12">
        <f t="shared" si="2"/>
        <v>0</v>
      </c>
      <c r="J23" s="10">
        <f>IFERROR(VLOOKUP(F23,FixedItem[],4,FALSE),0)</f>
        <v>0</v>
      </c>
      <c r="K23" s="12">
        <f>IFERROR(J23*VLOOKUP(F23, FixedItem[],5,FALSE)*UserTable[[#This Row],[Quantity]],0)</f>
        <v>0</v>
      </c>
      <c r="L23" s="10">
        <f>IFERROR(VLOOKUP(F23, FixedItem[],3,FALSE)*UserTable[[#This Row],[Quantity]],0)</f>
        <v>0</v>
      </c>
      <c r="M23" s="12">
        <f>UserTable[[#This Row],[Labor]]*$C$6</f>
        <v>0</v>
      </c>
      <c r="N23" s="12">
        <f t="shared" si="1"/>
        <v>0</v>
      </c>
      <c r="P23" s="8" t="str">
        <f>'RC Checklist'!H65</f>
        <v xml:space="preserve"> </v>
      </c>
      <c r="Q23" s="11">
        <f>'RC Checklist'!K65</f>
        <v>0</v>
      </c>
      <c r="R23" s="8">
        <f>'RC Checklist'!J65</f>
        <v>1</v>
      </c>
      <c r="S23" s="12">
        <f>VariableCost[[#This Row],[Quantity]]*VariableCost[[#This Row],[Cost of Item]]</f>
        <v>0</v>
      </c>
      <c r="T23" s="9"/>
    </row>
    <row r="24" spans="1:20">
      <c r="A24" s="26">
        <f>'RC Checklist'!L94</f>
        <v>0</v>
      </c>
      <c r="B24" s="10" t="s">
        <v>2973</v>
      </c>
      <c r="C24" s="8" t="str">
        <f>'RC Checklist'!H94</f>
        <v xml:space="preserve"> </v>
      </c>
      <c r="D24" s="27">
        <f>IF($C$2&lt;=9999,ROUNDUP(A24*$C$2,-1),ROUNDUP(A24*$C$2,-3))</f>
        <v>0</v>
      </c>
      <c r="E24" s="22"/>
      <c r="F24" s="8" t="str">
        <f>'RC Checklist'!H26</f>
        <v xml:space="preserve"> </v>
      </c>
      <c r="G24" s="8">
        <f>'RC Checklist'!J26</f>
        <v>1</v>
      </c>
      <c r="H24" s="12">
        <f>IFERROR(VLOOKUP(F24, FixedItem[],2,FALSE),0)</f>
        <v>0</v>
      </c>
      <c r="I24" s="12">
        <f t="shared" si="2"/>
        <v>0</v>
      </c>
      <c r="J24" s="10">
        <f>IFERROR(VLOOKUP(F24,FixedItem[],4,FALSE),0)</f>
        <v>0</v>
      </c>
      <c r="K24" s="12">
        <f>IFERROR(J24*VLOOKUP(F24, FixedItem[],5,FALSE)*UserTable[[#This Row],[Quantity]],0)</f>
        <v>0</v>
      </c>
      <c r="L24" s="10">
        <f>IFERROR(VLOOKUP(F24, FixedItem[],3,FALSE)*UserTable[[#This Row],[Quantity]],0)</f>
        <v>0</v>
      </c>
      <c r="M24" s="12">
        <f>UserTable[[#This Row],[Labor]]*$C$6</f>
        <v>0</v>
      </c>
      <c r="N24" s="12">
        <f t="shared" si="1"/>
        <v>0</v>
      </c>
      <c r="P24" s="8" t="str">
        <f>'RC Checklist'!H66</f>
        <v xml:space="preserve"> </v>
      </c>
      <c r="Q24" s="11">
        <f>'RC Checklist'!K66</f>
        <v>0</v>
      </c>
      <c r="R24" s="8">
        <f>'RC Checklist'!J66</f>
        <v>1</v>
      </c>
      <c r="S24" s="12">
        <f>VariableCost[[#This Row],[Quantity]]*VariableCost[[#This Row],[Cost of Item]]</f>
        <v>0</v>
      </c>
      <c r="T24" s="9"/>
    </row>
    <row r="25" spans="1:20">
      <c r="A25" s="26">
        <f>'RC Checklist'!L95</f>
        <v>0</v>
      </c>
      <c r="B25" s="10" t="s">
        <v>2973</v>
      </c>
      <c r="C25" s="8" t="str">
        <f>'RC Checklist'!H95</f>
        <v xml:space="preserve"> </v>
      </c>
      <c r="D25" s="27">
        <f t="shared" ref="D25:D30" si="3">IF($C$2&lt;=9999,ROUNDUP(A25*$C$2,-1),ROUNDUP(A25*$C$2,-2))</f>
        <v>0</v>
      </c>
      <c r="E25" s="22"/>
      <c r="F25" s="8" t="str">
        <f>'RC Checklist'!H27</f>
        <v xml:space="preserve"> </v>
      </c>
      <c r="G25" s="8">
        <f>'RC Checklist'!J27</f>
        <v>1</v>
      </c>
      <c r="H25" s="12">
        <f>IFERROR(VLOOKUP(F25, FixedItem[],2,FALSE),0)</f>
        <v>0</v>
      </c>
      <c r="I25" s="12">
        <f t="shared" si="2"/>
        <v>0</v>
      </c>
      <c r="J25" s="10">
        <f>IFERROR(VLOOKUP(F25,FixedItem[],4,FALSE),0)</f>
        <v>0</v>
      </c>
      <c r="K25" s="12">
        <f>IFERROR(J25*VLOOKUP(F25, FixedItem[],5,FALSE)*UserTable[[#This Row],[Quantity]],0)</f>
        <v>0</v>
      </c>
      <c r="L25" s="10">
        <f>IFERROR(VLOOKUP(F25, FixedItem[],3,FALSE)*UserTable[[#This Row],[Quantity]],0)</f>
        <v>0</v>
      </c>
      <c r="M25" s="12">
        <f>UserTable[[#This Row],[Labor]]*$C$6</f>
        <v>0</v>
      </c>
      <c r="N25" s="12">
        <f t="shared" si="1"/>
        <v>0</v>
      </c>
      <c r="P25" s="8" t="str">
        <f>'RC Checklist'!H67</f>
        <v xml:space="preserve"> </v>
      </c>
      <c r="Q25" s="11">
        <f>'RC Checklist'!K67</f>
        <v>0</v>
      </c>
      <c r="R25" s="8">
        <f>'RC Checklist'!J67</f>
        <v>1</v>
      </c>
      <c r="S25" s="12">
        <f>VariableCost[[#This Row],[Quantity]]*VariableCost[[#This Row],[Cost of Item]]</f>
        <v>0</v>
      </c>
      <c r="T25" s="9"/>
    </row>
    <row r="26" spans="1:20">
      <c r="A26" s="26">
        <f>'RC Checklist'!L96</f>
        <v>0</v>
      </c>
      <c r="B26" s="10" t="s">
        <v>2973</v>
      </c>
      <c r="C26" s="8" t="str">
        <f>'RC Checklist'!H96</f>
        <v xml:space="preserve"> </v>
      </c>
      <c r="D26" s="27">
        <f t="shared" si="3"/>
        <v>0</v>
      </c>
      <c r="E26" s="22"/>
      <c r="F26" s="8" t="str">
        <f>'RC Checklist'!H28</f>
        <v xml:space="preserve"> </v>
      </c>
      <c r="G26" s="8">
        <f>'RC Checklist'!J28</f>
        <v>1</v>
      </c>
      <c r="H26" s="12">
        <f>IFERROR(VLOOKUP(F26, FixedItem[],2,FALSE),0)</f>
        <v>0</v>
      </c>
      <c r="I26" s="12">
        <f t="shared" si="2"/>
        <v>0</v>
      </c>
      <c r="J26" s="10">
        <f>IFERROR(VLOOKUP(F26,FixedItem[],4,FALSE),0)</f>
        <v>0</v>
      </c>
      <c r="K26" s="12">
        <f>IFERROR(J26*VLOOKUP(F26, FixedItem[],5,FALSE)*UserTable[[#This Row],[Quantity]],0)</f>
        <v>0</v>
      </c>
      <c r="L26" s="10">
        <f>IFERROR(VLOOKUP(F26, FixedItem[],3,FALSE)*UserTable[[#This Row],[Quantity]],0)</f>
        <v>0</v>
      </c>
      <c r="M26" s="12">
        <f>UserTable[[#This Row],[Labor]]*$C$6</f>
        <v>0</v>
      </c>
      <c r="N26" s="12">
        <f t="shared" si="1"/>
        <v>0</v>
      </c>
      <c r="P26" s="8" t="str">
        <f>'RC Checklist'!H68</f>
        <v xml:space="preserve"> </v>
      </c>
      <c r="Q26" s="11">
        <f>'RC Checklist'!K68</f>
        <v>0</v>
      </c>
      <c r="R26" s="8">
        <f>'RC Checklist'!J68</f>
        <v>1</v>
      </c>
      <c r="S26" s="12">
        <f>VariableCost[[#This Row],[Quantity]]*VariableCost[[#This Row],[Cost of Item]]</f>
        <v>0</v>
      </c>
      <c r="T26" s="9"/>
    </row>
    <row r="27" spans="1:20">
      <c r="A27" s="26">
        <f>'RC Checklist'!L97</f>
        <v>0</v>
      </c>
      <c r="B27" s="10" t="s">
        <v>2973</v>
      </c>
      <c r="C27" s="8" t="str">
        <f>'RC Checklist'!H97</f>
        <v xml:space="preserve"> </v>
      </c>
      <c r="D27" s="27">
        <f t="shared" si="3"/>
        <v>0</v>
      </c>
      <c r="E27" s="22"/>
      <c r="F27" s="8" t="str">
        <f>'RC Checklist'!H29</f>
        <v xml:space="preserve"> </v>
      </c>
      <c r="G27" s="8">
        <f>'RC Checklist'!J29</f>
        <v>1</v>
      </c>
      <c r="H27" s="12">
        <f>IFERROR(VLOOKUP(F27, FixedItem[],2,FALSE),0)</f>
        <v>0</v>
      </c>
      <c r="I27" s="12">
        <f t="shared" si="2"/>
        <v>0</v>
      </c>
      <c r="J27" s="10">
        <f>IFERROR(VLOOKUP(F27,FixedItem[],4,FALSE),0)</f>
        <v>0</v>
      </c>
      <c r="K27" s="12">
        <f>IFERROR(J27*VLOOKUP(F27, FixedItem[],5,FALSE)*UserTable[[#This Row],[Quantity]],0)</f>
        <v>0</v>
      </c>
      <c r="L27" s="10">
        <f>IFERROR(VLOOKUP(F27, FixedItem[],3,FALSE)*UserTable[[#This Row],[Quantity]],0)</f>
        <v>0</v>
      </c>
      <c r="M27" s="12">
        <f>UserTable[[#This Row],[Labor]]*$C$6</f>
        <v>0</v>
      </c>
      <c r="N27" s="12">
        <f t="shared" si="1"/>
        <v>0</v>
      </c>
      <c r="P27" s="8" t="str">
        <f>'RC Checklist'!H69</f>
        <v xml:space="preserve"> </v>
      </c>
      <c r="Q27" s="11">
        <f>'RC Checklist'!K69</f>
        <v>0</v>
      </c>
      <c r="R27" s="8">
        <f>'RC Checklist'!J69</f>
        <v>1</v>
      </c>
      <c r="S27" s="12">
        <f>VariableCost[[#This Row],[Quantity]]*VariableCost[[#This Row],[Cost of Item]]</f>
        <v>0</v>
      </c>
      <c r="T27" s="9"/>
    </row>
    <row r="28" spans="1:20">
      <c r="A28" s="26">
        <f>'RC Checklist'!L98</f>
        <v>0</v>
      </c>
      <c r="B28" s="10" t="s">
        <v>2973</v>
      </c>
      <c r="C28" s="8" t="str">
        <f>'RC Checklist'!H98</f>
        <v xml:space="preserve"> </v>
      </c>
      <c r="D28" s="27">
        <f t="shared" si="3"/>
        <v>0</v>
      </c>
      <c r="E28" s="22"/>
      <c r="F28" s="8" t="str">
        <f>'RC Checklist'!H30</f>
        <v xml:space="preserve"> </v>
      </c>
      <c r="G28" s="8">
        <f>'RC Checklist'!J30</f>
        <v>1</v>
      </c>
      <c r="H28" s="12">
        <f>IFERROR(VLOOKUP(F28, FixedItem[],2,FALSE),0)</f>
        <v>0</v>
      </c>
      <c r="I28" s="12">
        <f t="shared" si="2"/>
        <v>0</v>
      </c>
      <c r="J28" s="10">
        <f>IFERROR(VLOOKUP(F28,FixedItem[],4,FALSE),0)</f>
        <v>0</v>
      </c>
      <c r="K28" s="12">
        <f>IFERROR(J28*VLOOKUP(F28, FixedItem[],5,FALSE)*UserTable[[#This Row],[Quantity]],0)</f>
        <v>0</v>
      </c>
      <c r="L28" s="10">
        <f>IFERROR(VLOOKUP(F28, FixedItem[],3,FALSE)*UserTable[[#This Row],[Quantity]],0)</f>
        <v>0</v>
      </c>
      <c r="M28" s="12">
        <f>UserTable[[#This Row],[Labor]]*$C$6</f>
        <v>0</v>
      </c>
      <c r="N28" s="12">
        <f t="shared" si="1"/>
        <v>0</v>
      </c>
      <c r="P28" s="8" t="str">
        <f>'RC Checklist'!H70</f>
        <v xml:space="preserve"> </v>
      </c>
      <c r="Q28" s="11">
        <f>'RC Checklist'!K70</f>
        <v>0</v>
      </c>
      <c r="R28" s="8">
        <f>'RC Checklist'!J70</f>
        <v>1</v>
      </c>
      <c r="S28" s="12">
        <f>VariableCost[[#This Row],[Quantity]]*VariableCost[[#This Row],[Cost of Item]]</f>
        <v>0</v>
      </c>
      <c r="T28" s="9"/>
    </row>
    <row r="29" spans="1:20">
      <c r="A29" s="26">
        <f>'RC Checklist'!L99</f>
        <v>0</v>
      </c>
      <c r="B29" s="10" t="s">
        <v>2973</v>
      </c>
      <c r="C29" s="8" t="str">
        <f>'RC Checklist'!H99</f>
        <v xml:space="preserve"> </v>
      </c>
      <c r="D29" s="27">
        <f t="shared" si="3"/>
        <v>0</v>
      </c>
      <c r="E29" s="22"/>
      <c r="F29" s="8" t="str">
        <f>'RC Checklist'!H31</f>
        <v xml:space="preserve"> </v>
      </c>
      <c r="G29" s="8">
        <f>'RC Checklist'!J31</f>
        <v>1</v>
      </c>
      <c r="H29" s="12">
        <f>IFERROR(VLOOKUP(F29, FixedItem[],2,FALSE),0)</f>
        <v>0</v>
      </c>
      <c r="I29" s="12">
        <f t="shared" si="2"/>
        <v>0</v>
      </c>
      <c r="J29" s="10">
        <f>IFERROR(VLOOKUP(F29,FixedItem[],4,FALSE),0)</f>
        <v>0</v>
      </c>
      <c r="K29" s="12">
        <f>IFERROR(J29*VLOOKUP(F29, FixedItem[],5,FALSE)*UserTable[[#This Row],[Quantity]],0)</f>
        <v>0</v>
      </c>
      <c r="L29" s="10">
        <f>IFERROR(VLOOKUP(F29, FixedItem[],3,FALSE)*UserTable[[#This Row],[Quantity]],0)</f>
        <v>0</v>
      </c>
      <c r="M29" s="12">
        <f>UserTable[[#This Row],[Labor]]*$C$6</f>
        <v>0</v>
      </c>
      <c r="N29" s="12">
        <f t="shared" si="1"/>
        <v>0</v>
      </c>
      <c r="P29" s="8" t="str">
        <f>'RC Checklist'!H71</f>
        <v xml:space="preserve"> </v>
      </c>
      <c r="Q29" s="11">
        <f>'RC Checklist'!K71</f>
        <v>0</v>
      </c>
      <c r="R29" s="8">
        <f>'RC Checklist'!J71</f>
        <v>1</v>
      </c>
      <c r="S29" s="12">
        <f>VariableCost[[#This Row],[Quantity]]*VariableCost[[#This Row],[Cost of Item]]</f>
        <v>0</v>
      </c>
      <c r="T29" s="9"/>
    </row>
    <row r="30" spans="1:20">
      <c r="A30" s="26">
        <f>'RC Checklist'!L100</f>
        <v>0</v>
      </c>
      <c r="B30" s="10" t="s">
        <v>2973</v>
      </c>
      <c r="C30" s="8" t="str">
        <f>'RC Checklist'!H100</f>
        <v xml:space="preserve"> </v>
      </c>
      <c r="D30" s="27">
        <f t="shared" si="3"/>
        <v>0</v>
      </c>
      <c r="E30" s="22"/>
      <c r="F30" s="8" t="str">
        <f>'RC Checklist'!H32</f>
        <v xml:space="preserve"> </v>
      </c>
      <c r="G30" s="8">
        <f>'RC Checklist'!J32</f>
        <v>1</v>
      </c>
      <c r="H30" s="12">
        <f>IFERROR(VLOOKUP(F30, FixedItem[],2,FALSE),0)</f>
        <v>0</v>
      </c>
      <c r="I30" s="12">
        <f t="shared" si="2"/>
        <v>0</v>
      </c>
      <c r="J30" s="10">
        <f>IFERROR(VLOOKUP(F30,FixedItem[],4,FALSE),0)</f>
        <v>0</v>
      </c>
      <c r="K30" s="12">
        <f>IFERROR(J30*VLOOKUP(F30, FixedItem[],5,FALSE)*UserTable[[#This Row],[Quantity]],0)</f>
        <v>0</v>
      </c>
      <c r="L30" s="10">
        <f>IFERROR(VLOOKUP(F30, FixedItem[],3,FALSE)*UserTable[[#This Row],[Quantity]],0)</f>
        <v>0</v>
      </c>
      <c r="M30" s="12">
        <f>UserTable[[#This Row],[Labor]]*$C$6</f>
        <v>0</v>
      </c>
      <c r="N30" s="12">
        <f t="shared" si="1"/>
        <v>0</v>
      </c>
      <c r="P30" s="8" t="str">
        <f>'RC Checklist'!H72</f>
        <v xml:space="preserve"> </v>
      </c>
      <c r="Q30" s="11">
        <f>'RC Checklist'!K72</f>
        <v>0</v>
      </c>
      <c r="R30" s="8">
        <f>'RC Checklist'!J72</f>
        <v>1</v>
      </c>
      <c r="S30" s="12">
        <f>VariableCost[[#This Row],[Quantity]]*VariableCost[[#This Row],[Cost of Item]]</f>
        <v>0</v>
      </c>
      <c r="T30" s="9"/>
    </row>
    <row r="31" spans="1:20">
      <c r="A31" s="26">
        <f>100%-SUM(A24, A25, A26, A27, A28, A29, A30)</f>
        <v>1</v>
      </c>
      <c r="B31" s="10" t="s">
        <v>2973</v>
      </c>
      <c r="C31" s="8" t="str">
        <f>'RC Checklist'!H101</f>
        <v>Completion</v>
      </c>
      <c r="D31" s="150">
        <f>C2-SUM(D24:D30)</f>
        <v>100</v>
      </c>
      <c r="E31" s="22"/>
      <c r="F31" s="8" t="str">
        <f>'RC Checklist'!H33</f>
        <v xml:space="preserve"> </v>
      </c>
      <c r="G31" s="8">
        <f>'RC Checklist'!J33</f>
        <v>1</v>
      </c>
      <c r="H31" s="12">
        <f>IFERROR(VLOOKUP(F31, FixedItem[],2,FALSE),0)</f>
        <v>0</v>
      </c>
      <c r="I31" s="12">
        <f t="shared" si="2"/>
        <v>0</v>
      </c>
      <c r="J31" s="10">
        <f>IFERROR(VLOOKUP(F31,FixedItem[],4,FALSE),0)</f>
        <v>0</v>
      </c>
      <c r="K31" s="12">
        <f>IFERROR(J31*VLOOKUP(F31, FixedItem[],5,FALSE)*UserTable[[#This Row],[Quantity]],0)</f>
        <v>0</v>
      </c>
      <c r="L31" s="10">
        <f>IFERROR(VLOOKUP(F31, FixedItem[],3,FALSE)*UserTable[[#This Row],[Quantity]],0)</f>
        <v>0</v>
      </c>
      <c r="M31" s="12">
        <f>UserTable[[#This Row],[Labor]]*$C$6</f>
        <v>0</v>
      </c>
      <c r="N31" s="12">
        <f t="shared" si="1"/>
        <v>0</v>
      </c>
      <c r="P31" s="8" t="str">
        <f>'RC Checklist'!H73</f>
        <v xml:space="preserve"> </v>
      </c>
      <c r="Q31" s="11">
        <f>'RC Checklist'!K73</f>
        <v>0</v>
      </c>
      <c r="R31" s="8">
        <f>'RC Checklist'!J73</f>
        <v>1</v>
      </c>
      <c r="S31" s="12">
        <f>VariableCost[[#This Row],[Quantity]]*VariableCost[[#This Row],[Cost of Item]]</f>
        <v>0</v>
      </c>
      <c r="T31" s="9"/>
    </row>
    <row r="32" spans="1:20">
      <c r="D32" s="27">
        <f>C2*(1-SUM(A24:A30))</f>
        <v>100</v>
      </c>
      <c r="F32" s="8" t="str">
        <f>'RC Checklist'!H34</f>
        <v xml:space="preserve"> </v>
      </c>
      <c r="G32" s="8">
        <f>'RC Checklist'!J34</f>
        <v>1</v>
      </c>
      <c r="H32" s="12">
        <f>IFERROR(VLOOKUP(F32, FixedItem[],2,FALSE),0)</f>
        <v>0</v>
      </c>
      <c r="I32" s="12">
        <f t="shared" si="2"/>
        <v>0</v>
      </c>
      <c r="J32" s="10">
        <f>IFERROR(VLOOKUP(F32,FixedItem[],4,FALSE),0)</f>
        <v>0</v>
      </c>
      <c r="K32" s="12">
        <f>IFERROR(J32*VLOOKUP(F32, FixedItem[],5,FALSE)*UserTable[[#This Row],[Quantity]],0)</f>
        <v>0</v>
      </c>
      <c r="L32" s="10">
        <f>IFERROR(VLOOKUP(F32, FixedItem[],3,FALSE)*UserTable[[#This Row],[Quantity]],0)</f>
        <v>0</v>
      </c>
      <c r="M32" s="12">
        <f>UserTable[[#This Row],[Labor]]*$C$6</f>
        <v>0</v>
      </c>
      <c r="N32" s="12">
        <f t="shared" si="1"/>
        <v>0</v>
      </c>
      <c r="P32" s="8" t="str">
        <f>'RC Checklist'!H74</f>
        <v xml:space="preserve"> </v>
      </c>
      <c r="Q32" s="11">
        <f>'RC Checklist'!K74</f>
        <v>0</v>
      </c>
      <c r="R32" s="8">
        <f>'RC Checklist'!J74</f>
        <v>1</v>
      </c>
      <c r="S32" s="12">
        <f>VariableCost[[#This Row],[Quantity]]*VariableCost[[#This Row],[Cost of Item]]</f>
        <v>0</v>
      </c>
      <c r="T32" s="9"/>
    </row>
    <row r="33" spans="6:20">
      <c r="F33" s="8" t="str">
        <f>'RC Checklist'!H35</f>
        <v xml:space="preserve"> </v>
      </c>
      <c r="G33" s="8">
        <f>'RC Checklist'!J35</f>
        <v>1</v>
      </c>
      <c r="H33" s="12">
        <f>IFERROR(VLOOKUP(F33, FixedItem[],2,FALSE),0)</f>
        <v>0</v>
      </c>
      <c r="I33" s="12">
        <f t="shared" si="2"/>
        <v>0</v>
      </c>
      <c r="J33" s="10">
        <f>IFERROR(VLOOKUP(F33,FixedItem[],4,FALSE),0)</f>
        <v>0</v>
      </c>
      <c r="K33" s="12">
        <f>IFERROR(J33*VLOOKUP(F33, FixedItem[],5,FALSE)*UserTable[[#This Row],[Quantity]],0)</f>
        <v>0</v>
      </c>
      <c r="L33" s="10">
        <f>IFERROR(VLOOKUP(F33, FixedItem[],3,FALSE)*UserTable[[#This Row],[Quantity]],0)</f>
        <v>0</v>
      </c>
      <c r="M33" s="12">
        <f>UserTable[[#This Row],[Labor]]*$C$6</f>
        <v>0</v>
      </c>
      <c r="N33" s="12">
        <f t="shared" si="1"/>
        <v>0</v>
      </c>
      <c r="P33" s="8" t="str">
        <f>'RC Checklist'!H75</f>
        <v xml:space="preserve"> </v>
      </c>
      <c r="Q33" s="11">
        <f>'RC Checklist'!K75</f>
        <v>0</v>
      </c>
      <c r="R33" s="8">
        <f>'RC Checklist'!J75</f>
        <v>1</v>
      </c>
      <c r="S33" s="12">
        <f>VariableCost[[#This Row],[Quantity]]*VariableCost[[#This Row],[Cost of Item]]</f>
        <v>0</v>
      </c>
      <c r="T33" s="9"/>
    </row>
    <row r="34" spans="6:20">
      <c r="F34" s="8" t="str">
        <f>'RC Checklist'!H36</f>
        <v xml:space="preserve"> </v>
      </c>
      <c r="G34" s="8">
        <f>'RC Checklist'!J36</f>
        <v>1</v>
      </c>
      <c r="H34" s="12">
        <f>IFERROR(VLOOKUP(F34, FixedItem[],2,FALSE),0)</f>
        <v>0</v>
      </c>
      <c r="I34" s="12">
        <f t="shared" si="2"/>
        <v>0</v>
      </c>
      <c r="J34" s="10">
        <f>IFERROR(VLOOKUP(F34,FixedItem[],4,FALSE),0)</f>
        <v>0</v>
      </c>
      <c r="K34" s="12">
        <f>IFERROR(J34*VLOOKUP(F34, FixedItem[],5,FALSE)*UserTable[[#This Row],[Quantity]],0)</f>
        <v>0</v>
      </c>
      <c r="L34" s="10">
        <f>IFERROR(VLOOKUP(F34, FixedItem[],3,FALSE)*UserTable[[#This Row],[Quantity]],0)</f>
        <v>0</v>
      </c>
      <c r="M34" s="12">
        <f>UserTable[[#This Row],[Labor]]*$C$6</f>
        <v>0</v>
      </c>
      <c r="N34" s="12">
        <f t="shared" si="1"/>
        <v>0</v>
      </c>
      <c r="P34" s="8" t="str">
        <f>'RC Checklist'!H76</f>
        <v xml:space="preserve"> </v>
      </c>
      <c r="Q34" s="11">
        <f>'RC Checklist'!K76</f>
        <v>0</v>
      </c>
      <c r="R34" s="8">
        <f>'RC Checklist'!J76</f>
        <v>1</v>
      </c>
      <c r="S34" s="12">
        <f>VariableCost[[#This Row],[Quantity]]*VariableCost[[#This Row],[Cost of Item]]</f>
        <v>0</v>
      </c>
      <c r="T34" s="9"/>
    </row>
    <row r="35" spans="6:20">
      <c r="F35" s="8" t="str">
        <f>'RC Checklist'!H37</f>
        <v xml:space="preserve"> </v>
      </c>
      <c r="G35" s="8">
        <f>'RC Checklist'!J37</f>
        <v>1</v>
      </c>
      <c r="H35" s="12">
        <f>IFERROR(VLOOKUP(F35, FixedItem[],2,FALSE),0)</f>
        <v>0</v>
      </c>
      <c r="I35" s="12">
        <f>H35*G35</f>
        <v>0</v>
      </c>
      <c r="J35" s="10">
        <f>IFERROR(VLOOKUP(F35,FixedItem[],4,FALSE),0)</f>
        <v>0</v>
      </c>
      <c r="K35" s="12">
        <f>IFERROR(J35*VLOOKUP(F35, FixedItem[],5,FALSE)*UserTable[[#This Row],[Quantity]],0)</f>
        <v>0</v>
      </c>
      <c r="L35" s="10">
        <f>IFERROR(VLOOKUP(F35, FixedItem[],3,FALSE)*UserTable[[#This Row],[Quantity]],0)</f>
        <v>0</v>
      </c>
      <c r="M35" s="12">
        <f>UserTable[[#This Row],[Labor]]*$C$6</f>
        <v>0</v>
      </c>
      <c r="N35" s="12">
        <f t="shared" si="1"/>
        <v>0</v>
      </c>
      <c r="P35" s="8" t="str">
        <f>'RC Checklist'!H77</f>
        <v xml:space="preserve"> </v>
      </c>
      <c r="Q35" s="11">
        <f>'RC Checklist'!K77</f>
        <v>0</v>
      </c>
      <c r="R35" s="8">
        <f>'RC Checklist'!J77</f>
        <v>1</v>
      </c>
      <c r="S35" s="12">
        <f>VariableCost[[#This Row],[Quantity]]*VariableCost[[#This Row],[Cost of Item]]</f>
        <v>0</v>
      </c>
      <c r="T35" s="9"/>
    </row>
  </sheetData>
  <sheetProtection selectLockedCells="1" selectUnlockedCells="1"/>
  <mergeCells count="12">
    <mergeCell ref="P4:S4"/>
    <mergeCell ref="A23:D23"/>
    <mergeCell ref="B9:C9"/>
    <mergeCell ref="B10:C10"/>
    <mergeCell ref="A4:C4"/>
    <mergeCell ref="F4:M4"/>
    <mergeCell ref="A19:C22"/>
    <mergeCell ref="B11:C12"/>
    <mergeCell ref="A14:C15"/>
    <mergeCell ref="B17:C17"/>
    <mergeCell ref="B18:C18"/>
    <mergeCell ref="B16:C16"/>
  </mergeCells>
  <conditionalFormatting sqref="B2">
    <cfRule type="expression" dxfId="23" priority="1">
      <formula>AND($B2="þ", #REF!="þ")</formula>
    </cfRule>
    <cfRule type="expression" dxfId="22" priority="2">
      <formula>#REF!="þ"</formula>
    </cfRule>
    <cfRule type="expression" dxfId="21" priority="3">
      <formula>$B2="þ"</formula>
    </cfRule>
  </conditionalFormatting>
  <pageMargins left="0.7" right="0.7" top="0.75" bottom="0.75" header="0.3" footer="0.3"/>
  <pageSetup orientation="portrait" r:id="rId1"/>
  <tableParts count="2">
    <tablePart r:id="rId2"/>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xr:uid="{3AC0B8A6-BDFB-4D54-91EA-D45683E7A06F}">
          <x14:formula1>
            <xm:f>'Client Info'!$S$2:$S$99</xm:f>
          </x14:formula1>
          <xm:sqref>B9:C9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1201"/>
  <sheetViews>
    <sheetView topLeftCell="P1" zoomScaleNormal="100" workbookViewId="0">
      <pane ySplit="1" topLeftCell="A2" activePane="bottomLeft" state="frozen"/>
      <selection pane="bottomLeft" activeCell="R2" sqref="R2"/>
    </sheetView>
  </sheetViews>
  <sheetFormatPr defaultColWidth="8.85546875" defaultRowHeight="15"/>
  <cols>
    <col min="1" max="1" width="39.5703125" bestFit="1" customWidth="1"/>
    <col min="2" max="2" width="33.42578125" bestFit="1" customWidth="1"/>
    <col min="3" max="3" width="23.42578125" bestFit="1" customWidth="1"/>
    <col min="4" max="4" width="66.7109375" bestFit="1" customWidth="1"/>
    <col min="5" max="5" width="84.7109375" bestFit="1" customWidth="1"/>
    <col min="6" max="7" width="20.85546875" style="52" bestFit="1" customWidth="1"/>
    <col min="8" max="8" width="48.5703125" bestFit="1" customWidth="1"/>
    <col min="9" max="10" width="48.5703125" customWidth="1"/>
    <col min="11" max="11" width="7.85546875" bestFit="1" customWidth="1"/>
    <col min="12" max="12" width="11" bestFit="1" customWidth="1"/>
    <col min="13" max="13" width="20.42578125" style="132" bestFit="1" customWidth="1"/>
    <col min="14" max="14" width="20.42578125" customWidth="1"/>
    <col min="15" max="15" width="128.85546875" bestFit="1" customWidth="1"/>
    <col min="16" max="16" width="76.7109375" bestFit="1" customWidth="1"/>
    <col min="18" max="18" width="11" customWidth="1"/>
    <col min="19" max="19" width="35.42578125" customWidth="1"/>
    <col min="20" max="20" width="16.7109375" bestFit="1" customWidth="1"/>
    <col min="21" max="21" width="21.28515625" customWidth="1"/>
  </cols>
  <sheetData>
    <row r="1" spans="1:19">
      <c r="A1" t="s">
        <v>2991</v>
      </c>
      <c r="B1" t="s">
        <v>2992</v>
      </c>
      <c r="C1" t="s">
        <v>3000</v>
      </c>
      <c r="D1" t="s">
        <v>18</v>
      </c>
      <c r="E1" t="s">
        <v>2993</v>
      </c>
      <c r="F1" s="52" t="s">
        <v>2994</v>
      </c>
      <c r="G1" s="52" t="s">
        <v>2995</v>
      </c>
      <c r="H1" t="s">
        <v>2954</v>
      </c>
      <c r="I1" t="s">
        <v>2985</v>
      </c>
      <c r="J1" t="s">
        <v>2986</v>
      </c>
      <c r="K1" t="s">
        <v>2987</v>
      </c>
      <c r="L1" t="s">
        <v>3133</v>
      </c>
      <c r="M1" s="132" t="s">
        <v>3058</v>
      </c>
      <c r="N1" t="s">
        <v>3057</v>
      </c>
      <c r="O1" t="s">
        <v>2945</v>
      </c>
      <c r="P1" t="s">
        <v>3022</v>
      </c>
      <c r="Q1" t="s">
        <v>3013</v>
      </c>
      <c r="R1" t="s">
        <v>3014</v>
      </c>
      <c r="S1" t="s">
        <v>3015</v>
      </c>
    </row>
    <row r="2" spans="1:19">
      <c r="A2" t="str">
        <f>TRIM(CONCATENATE(ClientInfo[[#This Row],[First Name]], " ",ClientInfo[[#This Row],[Last Name]]))</f>
        <v>*Client Name</v>
      </c>
      <c r="B2" t="s">
        <v>2947</v>
      </c>
      <c r="C2" t="s">
        <v>2946</v>
      </c>
      <c r="D2" t="s">
        <v>18</v>
      </c>
      <c r="F2" s="52">
        <v>4438765309</v>
      </c>
      <c r="G2" s="52">
        <v>4108765309</v>
      </c>
      <c r="H2" s="21" t="s">
        <v>2951</v>
      </c>
      <c r="I2" s="21"/>
      <c r="J2" s="21"/>
      <c r="K2" s="21"/>
      <c r="L2" s="21"/>
      <c r="M2" s="132">
        <v>0.1</v>
      </c>
      <c r="N2" s="21"/>
      <c r="O2" t="s">
        <v>2950</v>
      </c>
      <c r="P2" t="s">
        <v>2969</v>
      </c>
      <c r="Q2">
        <f>--ISNUMBER(SEARCH('RC Checklist'!$G$2,A2))</f>
        <v>1</v>
      </c>
      <c r="R2">
        <f>IF(Q2=1,COUNTIF($Q$2:$Q2,1),"")</f>
        <v>1</v>
      </c>
      <c r="S2" t="str">
        <f>IFERROR(INDEX(ClientInfo[Full Name], MATCH(ROWS($R$2:$R2),ClientInfo[frequency], 0)),"")</f>
        <v>*Client Name</v>
      </c>
    </row>
    <row r="3" spans="1:19">
      <c r="A3" t="str">
        <f>TRIM(CONCATENATE(ClientInfo[[#This Row],[First Name]], " ",ClientInfo[[#This Row],[Last Name]]))</f>
        <v>7th district school</v>
      </c>
      <c r="B3" t="s">
        <v>677</v>
      </c>
      <c r="C3" t="s">
        <v>2952</v>
      </c>
      <c r="F3" s="52">
        <v>4108871902</v>
      </c>
      <c r="Q3">
        <f>--ISNUMBER(SEARCH('RC Checklist'!$G$2,A3))</f>
        <v>0</v>
      </c>
      <c r="R3" t="str">
        <f>IF(Q3=1,COUNTIF($Q$2:$Q3,1),"")</f>
        <v/>
      </c>
      <c r="S3" t="str">
        <f>IFERROR(INDEX(ClientInfo[Full Name], MATCH(ROWS($R$2:$R3),ClientInfo[frequency], 0)),"")</f>
        <v/>
      </c>
    </row>
    <row r="4" spans="1:19">
      <c r="A4" t="str">
        <f>TRIM(CONCATENATE(ClientInfo[[#This Row],[First Name]], " ",ClientInfo[[#This Row],[Last Name]]))</f>
        <v>Abigail</v>
      </c>
      <c r="B4" t="s">
        <v>1309</v>
      </c>
      <c r="D4" t="s">
        <v>1310</v>
      </c>
      <c r="F4" s="52" t="s">
        <v>1311</v>
      </c>
      <c r="M4" s="132">
        <v>0</v>
      </c>
      <c r="Q4">
        <f>--ISNUMBER(SEARCH('RC Checklist'!$G$2,A4))</f>
        <v>0</v>
      </c>
      <c r="R4" t="str">
        <f>IF(Q4=1,COUNTIF($Q$2:$Q4,1),"")</f>
        <v/>
      </c>
      <c r="S4" t="str">
        <f>IFERROR(INDEX(ClientInfo[Full Name], MATCH(ROWS($R$2:$R4),ClientInfo[frequency], 0)),"")</f>
        <v/>
      </c>
    </row>
    <row r="5" spans="1:19">
      <c r="A5" t="str">
        <f>TRIM(CONCATENATE(ClientInfo[[#This Row],[First Name]], " ",ClientInfo[[#This Row],[Last Name]]))</f>
        <v>Adam &amp; Lara Kent</v>
      </c>
      <c r="B5" t="s">
        <v>1980</v>
      </c>
      <c r="C5" t="s">
        <v>1981</v>
      </c>
      <c r="O5" t="s">
        <v>1982</v>
      </c>
      <c r="Q5">
        <f>--ISNUMBER(SEARCH('RC Checklist'!$G$2,A5))</f>
        <v>0</v>
      </c>
      <c r="R5" t="str">
        <f>IF(Q5=1,COUNTIF($Q$2:$Q5,1),"")</f>
        <v/>
      </c>
      <c r="S5" t="str">
        <f>IFERROR(INDEX(ClientInfo[Full Name], MATCH(ROWS($R$2:$R5),ClientInfo[frequency], 0)),"")</f>
        <v/>
      </c>
    </row>
    <row r="6" spans="1:19">
      <c r="A6" t="str">
        <f>TRIM(CONCATENATE(ClientInfo[[#This Row],[First Name]], " ",ClientInfo[[#This Row],[Last Name]]))</f>
        <v>Adam &amp; Lin Frameless Glass</v>
      </c>
      <c r="B6" t="s">
        <v>2626</v>
      </c>
      <c r="C6" t="s">
        <v>2627</v>
      </c>
      <c r="D6" t="s">
        <v>2628</v>
      </c>
      <c r="F6" s="52" t="s">
        <v>2629</v>
      </c>
      <c r="G6" s="52" t="s">
        <v>2630</v>
      </c>
      <c r="Q6">
        <f>--ISNUMBER(SEARCH('RC Checklist'!$G$2,A6))</f>
        <v>0</v>
      </c>
      <c r="R6" t="str">
        <f>IF(Q6=1,COUNTIF($Q$2:$Q6,1),"")</f>
        <v/>
      </c>
      <c r="S6" t="str">
        <f>IFERROR(INDEX(ClientInfo[Full Name], MATCH(ROWS($R$2:$R6),ClientInfo[frequency], 0)),"")</f>
        <v/>
      </c>
    </row>
    <row r="7" spans="1:19">
      <c r="A7" t="str">
        <f>TRIM(CONCATENATE(ClientInfo[[#This Row],[First Name]], " ",ClientInfo[[#This Row],[Last Name]]))</f>
        <v>Adam Collins</v>
      </c>
      <c r="B7" t="s">
        <v>700</v>
      </c>
      <c r="C7" t="s">
        <v>701</v>
      </c>
      <c r="D7" t="s">
        <v>702</v>
      </c>
      <c r="F7" s="52">
        <v>4102929109</v>
      </c>
      <c r="Q7">
        <f>--ISNUMBER(SEARCH('RC Checklist'!$G$2,A7))</f>
        <v>0</v>
      </c>
      <c r="R7" t="str">
        <f>IF(Q7=1,COUNTIF($Q$2:$Q7,1),"")</f>
        <v/>
      </c>
      <c r="S7" t="str">
        <f>IFERROR(INDEX(ClientInfo[Full Name], MATCH(ROWS($R$2:$R7),ClientInfo[frequency], 0)),"")</f>
        <v/>
      </c>
    </row>
    <row r="8" spans="1:19">
      <c r="A8" t="str">
        <f>TRIM(CONCATENATE(ClientInfo[[#This Row],[First Name]], " ",ClientInfo[[#This Row],[Last Name]]))</f>
        <v>Adam Wiley</v>
      </c>
      <c r="B8" t="s">
        <v>700</v>
      </c>
      <c r="C8" t="s">
        <v>1403</v>
      </c>
      <c r="F8" s="52" t="s">
        <v>1404</v>
      </c>
      <c r="Q8">
        <f>--ISNUMBER(SEARCH('RC Checklist'!$G$2,A8))</f>
        <v>0</v>
      </c>
      <c r="R8" t="str">
        <f>IF(Q8=1,COUNTIF($Q$2:$Q8,1),"")</f>
        <v/>
      </c>
      <c r="S8" t="str">
        <f>IFERROR(INDEX(ClientInfo[Full Name], MATCH(ROWS($R$2:$R8),ClientInfo[frequency], 0)),"")</f>
        <v/>
      </c>
    </row>
    <row r="9" spans="1:19">
      <c r="A9" t="str">
        <f>TRIM(CONCATENATE(ClientInfo[[#This Row],[First Name]], " ",ClientInfo[[#This Row],[Last Name]]))</f>
        <v>Adessa</v>
      </c>
      <c r="B9" t="s">
        <v>2339</v>
      </c>
      <c r="F9" s="52">
        <v>9087252200</v>
      </c>
      <c r="P9" t="s">
        <v>2340</v>
      </c>
      <c r="Q9">
        <f>--ISNUMBER(SEARCH('RC Checklist'!$G$2,A9))</f>
        <v>0</v>
      </c>
      <c r="R9" t="str">
        <f>IF(Q9=1,COUNTIF($Q$2:$Q9,1),"")</f>
        <v/>
      </c>
      <c r="S9" t="str">
        <f>IFERROR(INDEX(ClientInfo[Full Name], MATCH(ROWS($R$2:$R9),ClientInfo[frequency], 0)),"")</f>
        <v/>
      </c>
    </row>
    <row r="10" spans="1:19">
      <c r="A10" t="str">
        <f>TRIM(CONCATENATE(ClientInfo[[#This Row],[First Name]], " ",ClientInfo[[#This Row],[Last Name]]))</f>
        <v>Adolfo Marim</v>
      </c>
      <c r="B10" t="s">
        <v>811</v>
      </c>
      <c r="C10" t="s">
        <v>812</v>
      </c>
      <c r="F10" s="52" t="s">
        <v>813</v>
      </c>
      <c r="H10" t="s">
        <v>814</v>
      </c>
      <c r="Q10">
        <f>--ISNUMBER(SEARCH('RC Checklist'!$G$2,A10))</f>
        <v>0</v>
      </c>
      <c r="R10" t="str">
        <f>IF(Q10=1,COUNTIF($Q$2:$Q10,1),"")</f>
        <v/>
      </c>
      <c r="S10" t="str">
        <f>IFERROR(INDEX(ClientInfo[Full Name], MATCH(ROWS($R$2:$R10),ClientInfo[frequency], 0)),"")</f>
        <v/>
      </c>
    </row>
    <row r="11" spans="1:19">
      <c r="A11" t="str">
        <f>TRIM(CONCATENATE(ClientInfo[[#This Row],[First Name]], " ",ClientInfo[[#This Row],[Last Name]]))</f>
        <v>Adrian sushko</v>
      </c>
      <c r="B11" t="s">
        <v>2534</v>
      </c>
      <c r="C11" t="s">
        <v>2535</v>
      </c>
      <c r="F11" s="52">
        <v>4106755500</v>
      </c>
      <c r="Q11">
        <f>--ISNUMBER(SEARCH('RC Checklist'!$G$2,A11))</f>
        <v>0</v>
      </c>
      <c r="R11" t="str">
        <f>IF(Q11=1,COUNTIF($Q$2:$Q11,1),"")</f>
        <v/>
      </c>
      <c r="S11" t="str">
        <f>IFERROR(INDEX(ClientInfo[Full Name], MATCH(ROWS($R$2:$R11),ClientInfo[frequency], 0)),"")</f>
        <v/>
      </c>
    </row>
    <row r="12" spans="1:19">
      <c r="A12" t="str">
        <f>TRIM(CONCATENATE(ClientInfo[[#This Row],[First Name]], " ",ClientInfo[[#This Row],[Last Name]]))</f>
        <v>Adriana</v>
      </c>
      <c r="B12" t="s">
        <v>912</v>
      </c>
      <c r="F12" s="52" t="s">
        <v>447</v>
      </c>
      <c r="Q12">
        <f>--ISNUMBER(SEARCH('RC Checklist'!$G$2,A12))</f>
        <v>0</v>
      </c>
      <c r="R12" t="str">
        <f>IF(Q12=1,COUNTIF($Q$2:$Q12,1),"")</f>
        <v/>
      </c>
      <c r="S12" t="str">
        <f>IFERROR(INDEX(ClientInfo[Full Name], MATCH(ROWS($R$2:$R12),ClientInfo[frequency], 0)),"")</f>
        <v/>
      </c>
    </row>
    <row r="13" spans="1:19">
      <c r="A13" t="str">
        <f>TRIM(CONCATENATE(ClientInfo[[#This Row],[First Name]], " ",ClientInfo[[#This Row],[Last Name]]))</f>
        <v>Al &amp; Sarah De Felice</v>
      </c>
      <c r="B13" t="s">
        <v>218</v>
      </c>
      <c r="C13" t="s">
        <v>219</v>
      </c>
      <c r="H13" t="s">
        <v>220</v>
      </c>
      <c r="O13" t="s">
        <v>221</v>
      </c>
      <c r="Q13">
        <f>--ISNUMBER(SEARCH('RC Checklist'!$G$2,A13))</f>
        <v>0</v>
      </c>
      <c r="R13" t="str">
        <f>IF(Q13=1,COUNTIF($Q$2:$Q13,1),"")</f>
        <v/>
      </c>
      <c r="S13" t="str">
        <f>IFERROR(INDEX(ClientInfo[Full Name], MATCH(ROWS($R$2:$R13),ClientInfo[frequency], 0)),"")</f>
        <v/>
      </c>
    </row>
    <row r="14" spans="1:19">
      <c r="A14" t="str">
        <f>TRIM(CONCATENATE(ClientInfo[[#This Row],[First Name]], " ",ClientInfo[[#This Row],[Last Name]]))</f>
        <v>Alan &amp; Rachel Maw</v>
      </c>
      <c r="B14" t="s">
        <v>2776</v>
      </c>
      <c r="C14" t="s">
        <v>2777</v>
      </c>
      <c r="H14" t="s">
        <v>2778</v>
      </c>
      <c r="O14" t="s">
        <v>2779</v>
      </c>
      <c r="P14" t="s">
        <v>2780</v>
      </c>
      <c r="Q14">
        <f>--ISNUMBER(SEARCH('RC Checklist'!$G$2,A14))</f>
        <v>0</v>
      </c>
      <c r="R14" t="str">
        <f>IF(Q14=1,COUNTIF($Q$2:$Q14,1),"")</f>
        <v/>
      </c>
      <c r="S14" t="str">
        <f>IFERROR(INDEX(ClientInfo[Full Name], MATCH(ROWS($R$2:$R14),ClientInfo[frequency], 0)),"")</f>
        <v/>
      </c>
    </row>
    <row r="15" spans="1:19">
      <c r="A15" t="str">
        <f>TRIM(CONCATENATE(ClientInfo[[#This Row],[First Name]], " ",ClientInfo[[#This Row],[Last Name]]))</f>
        <v>Alan R. Myers</v>
      </c>
      <c r="B15" t="s">
        <v>78</v>
      </c>
      <c r="E15" t="s">
        <v>79</v>
      </c>
      <c r="F15" s="52">
        <v>8668574095</v>
      </c>
      <c r="H15" t="s">
        <v>80</v>
      </c>
      <c r="O15" t="s">
        <v>81</v>
      </c>
      <c r="Q15">
        <f>--ISNUMBER(SEARCH('RC Checklist'!$G$2,A15))</f>
        <v>0</v>
      </c>
      <c r="R15" t="str">
        <f>IF(Q15=1,COUNTIF($Q$2:$Q15,1),"")</f>
        <v/>
      </c>
      <c r="S15" t="str">
        <f>IFERROR(INDEX(ClientInfo[Full Name], MATCH(ROWS($R$2:$R15),ClientInfo[frequency], 0)),"")</f>
        <v/>
      </c>
    </row>
    <row r="16" spans="1:19">
      <c r="A16" t="str">
        <f>TRIM(CONCATENATE(ClientInfo[[#This Row],[First Name]], " ",ClientInfo[[#This Row],[Last Name]]))</f>
        <v>Aldo Figueroa</v>
      </c>
      <c r="B16" t="s">
        <v>1498</v>
      </c>
      <c r="C16" t="s">
        <v>1499</v>
      </c>
      <c r="F16" s="52">
        <v>14107902572</v>
      </c>
      <c r="G16" s="52" t="s">
        <v>1500</v>
      </c>
      <c r="H16" t="s">
        <v>1501</v>
      </c>
      <c r="Q16">
        <f>--ISNUMBER(SEARCH('RC Checklist'!$G$2,A16))</f>
        <v>0</v>
      </c>
      <c r="R16" t="str">
        <f>IF(Q16=1,COUNTIF($Q$2:$Q16,1),"")</f>
        <v/>
      </c>
      <c r="S16" t="str">
        <f>IFERROR(INDEX(ClientInfo[Full Name], MATCH(ROWS($R$2:$R16),ClientInfo[frequency], 0)),"")</f>
        <v/>
      </c>
    </row>
    <row r="17" spans="1:19">
      <c r="A17" t="str">
        <f>TRIM(CONCATENATE(ClientInfo[[#This Row],[First Name]], " ",ClientInfo[[#This Row],[Last Name]]))</f>
        <v>Alex &amp; Will Mugge-Smith</v>
      </c>
      <c r="B17" t="s">
        <v>2054</v>
      </c>
      <c r="C17" t="s">
        <v>2055</v>
      </c>
      <c r="H17" t="s">
        <v>2056</v>
      </c>
      <c r="O17" t="s">
        <v>2057</v>
      </c>
      <c r="Q17">
        <f>--ISNUMBER(SEARCH('RC Checklist'!$G$2,A17))</f>
        <v>0</v>
      </c>
      <c r="R17" t="str">
        <f>IF(Q17=1,COUNTIF($Q$2:$Q17,1),"")</f>
        <v/>
      </c>
      <c r="S17" t="str">
        <f>IFERROR(INDEX(ClientInfo[Full Name], MATCH(ROWS($R$2:$R17),ClientInfo[frequency], 0)),"")</f>
        <v/>
      </c>
    </row>
    <row r="18" spans="1:19">
      <c r="A18" t="str">
        <f>TRIM(CONCATENATE(ClientInfo[[#This Row],[First Name]], " ",ClientInfo[[#This Row],[Last Name]]))</f>
        <v>Alex Klaff</v>
      </c>
      <c r="B18" t="s">
        <v>895</v>
      </c>
      <c r="C18" t="s">
        <v>896</v>
      </c>
      <c r="F18" s="52">
        <v>4438447994</v>
      </c>
      <c r="Q18">
        <f>--ISNUMBER(SEARCH('RC Checklist'!$G$2,A18))</f>
        <v>0</v>
      </c>
      <c r="R18" t="str">
        <f>IF(Q18=1,COUNTIF($Q$2:$Q18,1),"")</f>
        <v/>
      </c>
      <c r="S18" t="str">
        <f>IFERROR(INDEX(ClientInfo[Full Name], MATCH(ROWS($R$2:$R18),ClientInfo[frequency], 0)),"")</f>
        <v/>
      </c>
    </row>
    <row r="19" spans="1:19">
      <c r="A19" t="str">
        <f>TRIM(CONCATENATE(ClientInfo[[#This Row],[First Name]], " ",ClientInfo[[#This Row],[Last Name]]))</f>
        <v>Alex McNamee Elena Bogatyreva</v>
      </c>
      <c r="B19" t="s">
        <v>2228</v>
      </c>
      <c r="C19" t="s">
        <v>2229</v>
      </c>
      <c r="F19" s="52">
        <v>4105373586</v>
      </c>
      <c r="G19" s="52" t="s">
        <v>2230</v>
      </c>
      <c r="O19" t="s">
        <v>2231</v>
      </c>
      <c r="Q19">
        <f>--ISNUMBER(SEARCH('RC Checklist'!$G$2,A19))</f>
        <v>0</v>
      </c>
      <c r="R19" t="str">
        <f>IF(Q19=1,COUNTIF($Q$2:$Q19,1),"")</f>
        <v/>
      </c>
      <c r="S19" t="str">
        <f>IFERROR(INDEX(ClientInfo[Full Name], MATCH(ROWS($R$2:$R19),ClientInfo[frequency], 0)),"")</f>
        <v/>
      </c>
    </row>
    <row r="20" spans="1:19">
      <c r="A20" t="str">
        <f>TRIM(CONCATENATE(ClientInfo[[#This Row],[First Name]], " ",ClientInfo[[#This Row],[Last Name]]))</f>
        <v>Aline Hauber</v>
      </c>
      <c r="B20" t="s">
        <v>2582</v>
      </c>
      <c r="C20" t="s">
        <v>2583</v>
      </c>
      <c r="D20" t="s">
        <v>2584</v>
      </c>
      <c r="F20" s="52">
        <v>4103775425</v>
      </c>
      <c r="P20" t="s">
        <v>2585</v>
      </c>
      <c r="Q20">
        <f>--ISNUMBER(SEARCH('RC Checklist'!$G$2,A20))</f>
        <v>0</v>
      </c>
      <c r="R20" t="str">
        <f>IF(Q20=1,COUNTIF($Q$2:$Q20,1),"")</f>
        <v/>
      </c>
      <c r="S20" t="str">
        <f>IFERROR(INDEX(ClientInfo[Full Name], MATCH(ROWS($R$2:$R20),ClientInfo[frequency], 0)),"")</f>
        <v/>
      </c>
    </row>
    <row r="21" spans="1:19">
      <c r="A21" t="str">
        <f>TRIM(CONCATENATE(ClientInfo[[#This Row],[First Name]], " ",ClientInfo[[#This Row],[Last Name]]))</f>
        <v>All Ways Carpet</v>
      </c>
      <c r="B21" t="s">
        <v>1978</v>
      </c>
      <c r="C21" t="s">
        <v>1979</v>
      </c>
      <c r="F21" s="52">
        <v>4103089898</v>
      </c>
      <c r="Q21">
        <f>--ISNUMBER(SEARCH('RC Checklist'!$G$2,A21))</f>
        <v>0</v>
      </c>
      <c r="R21" t="str">
        <f>IF(Q21=1,COUNTIF($Q$2:$Q21,1),"")</f>
        <v/>
      </c>
      <c r="S21" t="str">
        <f>IFERROR(INDEX(ClientInfo[Full Name], MATCH(ROWS($R$2:$R21),ClientInfo[frequency], 0)),"")</f>
        <v/>
      </c>
    </row>
    <row r="22" spans="1:19">
      <c r="A22" t="str">
        <f>TRIM(CONCATENATE(ClientInfo[[#This Row],[First Name]], " ",ClientInfo[[#This Row],[Last Name]]))</f>
        <v>Alloy wheel repair</v>
      </c>
      <c r="B22" t="s">
        <v>1640</v>
      </c>
      <c r="C22" t="s">
        <v>1641</v>
      </c>
      <c r="F22" s="52">
        <v>4438071946</v>
      </c>
      <c r="Q22">
        <f>--ISNUMBER(SEARCH('RC Checklist'!$G$2,A22))</f>
        <v>0</v>
      </c>
      <c r="R22" t="str">
        <f>IF(Q22=1,COUNTIF($Q$2:$Q22,1),"")</f>
        <v/>
      </c>
      <c r="S22" t="str">
        <f>IFERROR(INDEX(ClientInfo[Full Name], MATCH(ROWS($R$2:$R22),ClientInfo[frequency], 0)),"")</f>
        <v/>
      </c>
    </row>
    <row r="23" spans="1:19">
      <c r="A23" t="str">
        <f>TRIM(CONCATENATE(ClientInfo[[#This Row],[First Name]], " ",ClientInfo[[#This Row],[Last Name]]))</f>
        <v>Ally Fannin</v>
      </c>
      <c r="B23" t="s">
        <v>1465</v>
      </c>
      <c r="C23" t="s">
        <v>214</v>
      </c>
      <c r="F23" s="52">
        <v>14103706565</v>
      </c>
      <c r="H23" t="s">
        <v>1466</v>
      </c>
      <c r="Q23">
        <f>--ISNUMBER(SEARCH('RC Checklist'!$G$2,A23))</f>
        <v>0</v>
      </c>
      <c r="R23" t="str">
        <f>IF(Q23=1,COUNTIF($Q$2:$Q23,1),"")</f>
        <v/>
      </c>
      <c r="S23" t="str">
        <f>IFERROR(INDEX(ClientInfo[Full Name], MATCH(ROWS($R$2:$R23),ClientInfo[frequency], 0)),"")</f>
        <v/>
      </c>
    </row>
    <row r="24" spans="1:19">
      <c r="A24" t="str">
        <f>TRIM(CONCATENATE(ClientInfo[[#This Row],[First Name]], " ",ClientInfo[[#This Row],[Last Name]]))</f>
        <v>Amanda Trippett</v>
      </c>
      <c r="B24" t="s">
        <v>868</v>
      </c>
      <c r="C24" t="s">
        <v>869</v>
      </c>
      <c r="F24" s="52">
        <v>4104583709</v>
      </c>
      <c r="P24" t="s">
        <v>870</v>
      </c>
      <c r="Q24">
        <f>--ISNUMBER(SEARCH('RC Checklist'!$G$2,A24))</f>
        <v>0</v>
      </c>
      <c r="R24" t="str">
        <f>IF(Q24=1,COUNTIF($Q$2:$Q24,1),"")</f>
        <v/>
      </c>
      <c r="S24" t="str">
        <f>IFERROR(INDEX(ClientInfo[Full Name], MATCH(ROWS($R$2:$R24),ClientInfo[frequency], 0)),"")</f>
        <v/>
      </c>
    </row>
    <row r="25" spans="1:19">
      <c r="A25" t="str">
        <f>TRIM(CONCATENATE(ClientInfo[[#This Row],[First Name]], " ",ClientInfo[[#This Row],[Last Name]]))</f>
        <v>Amrita Mishra</v>
      </c>
      <c r="B25" t="s">
        <v>2716</v>
      </c>
      <c r="C25" t="s">
        <v>2717</v>
      </c>
      <c r="F25" s="52" t="s">
        <v>2718</v>
      </c>
      <c r="Q25">
        <f>--ISNUMBER(SEARCH('RC Checklist'!$G$2,A25))</f>
        <v>0</v>
      </c>
      <c r="R25" t="str">
        <f>IF(Q25=1,COUNTIF($Q$2:$Q25,1),"")</f>
        <v/>
      </c>
      <c r="S25" t="str">
        <f>IFERROR(INDEX(ClientInfo[Full Name], MATCH(ROWS($R$2:$R25),ClientInfo[frequency], 0)),"")</f>
        <v/>
      </c>
    </row>
    <row r="26" spans="1:19">
      <c r="A26" t="str">
        <f>TRIM(CONCATENATE(ClientInfo[[#This Row],[First Name]], " ",ClientInfo[[#This Row],[Last Name]]))</f>
        <v>Amy Blackman</v>
      </c>
      <c r="B26" t="s">
        <v>1437</v>
      </c>
      <c r="C26" t="s">
        <v>2538</v>
      </c>
      <c r="F26" s="52" t="s">
        <v>2539</v>
      </c>
      <c r="Q26">
        <f>--ISNUMBER(SEARCH('RC Checklist'!$G$2,A26))</f>
        <v>0</v>
      </c>
      <c r="R26" t="str">
        <f>IF(Q26=1,COUNTIF($Q$2:$Q26,1),"")</f>
        <v/>
      </c>
      <c r="S26" t="str">
        <f>IFERROR(INDEX(ClientInfo[Full Name], MATCH(ROWS($R$2:$R26),ClientInfo[frequency], 0)),"")</f>
        <v/>
      </c>
    </row>
    <row r="27" spans="1:19">
      <c r="A27" t="str">
        <f>TRIM(CONCATENATE(ClientInfo[[#This Row],[First Name]], " ",ClientInfo[[#This Row],[Last Name]]))</f>
        <v>Amy England</v>
      </c>
      <c r="B27" t="s">
        <v>1437</v>
      </c>
      <c r="C27" t="s">
        <v>2157</v>
      </c>
      <c r="D27" t="s">
        <v>1915</v>
      </c>
      <c r="H27" t="s">
        <v>2158</v>
      </c>
      <c r="O27" t="s">
        <v>2967</v>
      </c>
      <c r="Q27">
        <f>--ISNUMBER(SEARCH('RC Checklist'!$G$2,A27))</f>
        <v>0</v>
      </c>
      <c r="R27" t="str">
        <f>IF(Q27=1,COUNTIF($Q$2:$Q27,1),"")</f>
        <v/>
      </c>
      <c r="S27" t="str">
        <f>IFERROR(INDEX(ClientInfo[Full Name], MATCH(ROWS($R$2:$R27),ClientInfo[frequency], 0)),"")</f>
        <v/>
      </c>
    </row>
    <row r="28" spans="1:19">
      <c r="A28" t="str">
        <f>TRIM(CONCATENATE(ClientInfo[[#This Row],[First Name]], " ",ClientInfo[[#This Row],[Last Name]]))</f>
        <v>Amy Smith</v>
      </c>
      <c r="B28" t="s">
        <v>1437</v>
      </c>
      <c r="C28" t="s">
        <v>34</v>
      </c>
      <c r="F28" s="52" t="s">
        <v>1438</v>
      </c>
      <c r="H28" t="s">
        <v>1439</v>
      </c>
      <c r="Q28">
        <f>--ISNUMBER(SEARCH('RC Checklist'!$G$2,A28))</f>
        <v>0</v>
      </c>
      <c r="R28" t="str">
        <f>IF(Q28=1,COUNTIF($Q$2:$Q28,1),"")</f>
        <v/>
      </c>
      <c r="S28" t="str">
        <f>IFERROR(INDEX(ClientInfo[Full Name], MATCH(ROWS($R$2:$R28),ClientInfo[frequency], 0)),"")</f>
        <v/>
      </c>
    </row>
    <row r="29" spans="1:19">
      <c r="A29" t="str">
        <f>TRIM(CONCATENATE(ClientInfo[[#This Row],[First Name]], " ",ClientInfo[[#This Row],[Last Name]]))</f>
        <v>Andrea B. Giffespie</v>
      </c>
      <c r="B29" t="s">
        <v>346</v>
      </c>
      <c r="E29" t="s">
        <v>347</v>
      </c>
      <c r="F29" s="52">
        <v>14434039356</v>
      </c>
      <c r="G29" s="52">
        <v>4105577530</v>
      </c>
      <c r="H29" t="s">
        <v>348</v>
      </c>
      <c r="P29" t="s">
        <v>349</v>
      </c>
      <c r="Q29">
        <f>--ISNUMBER(SEARCH('RC Checklist'!$G$2,A29))</f>
        <v>0</v>
      </c>
      <c r="R29" t="str">
        <f>IF(Q29=1,COUNTIF($Q$2:$Q29,1),"")</f>
        <v/>
      </c>
      <c r="S29" t="str">
        <f>IFERROR(INDEX(ClientInfo[Full Name], MATCH(ROWS($R$2:$R29),ClientInfo[frequency], 0)),"")</f>
        <v/>
      </c>
    </row>
    <row r="30" spans="1:19">
      <c r="A30" t="str">
        <f>TRIM(CONCATENATE(ClientInfo[[#This Row],[First Name]], " ",ClientInfo[[#This Row],[Last Name]]))</f>
        <v>Andrew &amp; Ashley Fitzhugh</v>
      </c>
      <c r="B30" t="s">
        <v>2836</v>
      </c>
      <c r="C30" t="s">
        <v>2837</v>
      </c>
      <c r="D30" t="s">
        <v>2838</v>
      </c>
      <c r="F30" s="52" t="s">
        <v>2839</v>
      </c>
      <c r="H30" t="s">
        <v>2840</v>
      </c>
      <c r="O30" t="s">
        <v>2841</v>
      </c>
      <c r="Q30">
        <f>--ISNUMBER(SEARCH('RC Checklist'!$G$2,A30))</f>
        <v>0</v>
      </c>
      <c r="R30" t="str">
        <f>IF(Q30=1,COUNTIF($Q$2:$Q30,1),"")</f>
        <v/>
      </c>
      <c r="S30" t="str">
        <f>IFERROR(INDEX(ClientInfo[Full Name], MATCH(ROWS($R$2:$R30),ClientInfo[frequency], 0)),"")</f>
        <v/>
      </c>
    </row>
    <row r="31" spans="1:19">
      <c r="A31" t="str">
        <f>TRIM(CONCATENATE(ClientInfo[[#This Row],[First Name]], " ",ClientInfo[[#This Row],[Last Name]]))</f>
        <v>Andrew ward/ landr</v>
      </c>
      <c r="B31" t="s">
        <v>2354</v>
      </c>
      <c r="C31" t="s">
        <v>2355</v>
      </c>
      <c r="D31" t="s">
        <v>2356</v>
      </c>
      <c r="F31" s="52">
        <v>7178178522</v>
      </c>
      <c r="G31" s="52">
        <v>7172447250</v>
      </c>
      <c r="O31" t="s">
        <v>2357</v>
      </c>
      <c r="Q31">
        <f>--ISNUMBER(SEARCH('RC Checklist'!$G$2,A31))</f>
        <v>0</v>
      </c>
      <c r="R31" t="str">
        <f>IF(Q31=1,COUNTIF($Q$2:$Q31,1),"")</f>
        <v/>
      </c>
      <c r="S31" t="str">
        <f>IFERROR(INDEX(ClientInfo[Full Name], MATCH(ROWS($R$2:$R31),ClientInfo[frequency], 0)),"")</f>
        <v/>
      </c>
    </row>
    <row r="32" spans="1:19">
      <c r="A32" t="str">
        <f>TRIM(CONCATENATE(ClientInfo[[#This Row],[First Name]], " ",ClientInfo[[#This Row],[Last Name]]))</f>
        <v>Andy Nelson Jr.</v>
      </c>
      <c r="B32" t="s">
        <v>298</v>
      </c>
      <c r="C32" t="s">
        <v>299</v>
      </c>
      <c r="D32" t="s">
        <v>300</v>
      </c>
      <c r="F32" s="52">
        <v>4106278592</v>
      </c>
      <c r="H32" t="s">
        <v>301</v>
      </c>
      <c r="O32" t="s">
        <v>302</v>
      </c>
      <c r="Q32">
        <f>--ISNUMBER(SEARCH('RC Checklist'!$G$2,A32))</f>
        <v>0</v>
      </c>
      <c r="R32" t="str">
        <f>IF(Q32=1,COUNTIF($Q$2:$Q32,1),"")</f>
        <v/>
      </c>
      <c r="S32" t="str">
        <f>IFERROR(INDEX(ClientInfo[Full Name], MATCH(ROWS($R$2:$R32),ClientInfo[frequency], 0)),"")</f>
        <v/>
      </c>
    </row>
    <row r="33" spans="1:19">
      <c r="A33" t="str">
        <f>TRIM(CONCATENATE(ClientInfo[[#This Row],[First Name]], " ",ClientInfo[[#This Row],[Last Name]]))</f>
        <v>Andy Ranck</v>
      </c>
      <c r="B33" t="s">
        <v>298</v>
      </c>
      <c r="C33" t="s">
        <v>1574</v>
      </c>
      <c r="F33" s="52">
        <v>4432265976</v>
      </c>
      <c r="Q33">
        <f>--ISNUMBER(SEARCH('RC Checklist'!$G$2,A33))</f>
        <v>0</v>
      </c>
      <c r="R33" t="str">
        <f>IF(Q33=1,COUNTIF($Q$2:$Q33,1),"")</f>
        <v/>
      </c>
      <c r="S33" t="str">
        <f>IFERROR(INDEX(ClientInfo[Full Name], MATCH(ROWS($R$2:$R33),ClientInfo[frequency], 0)),"")</f>
        <v/>
      </c>
    </row>
    <row r="34" spans="1:19">
      <c r="A34" t="str">
        <f>TRIM(CONCATENATE(ClientInfo[[#This Row],[First Name]], " ",ClientInfo[[#This Row],[Last Name]]))</f>
        <v>Angel Rodriguez</v>
      </c>
      <c r="B34" t="s">
        <v>1989</v>
      </c>
      <c r="C34" t="s">
        <v>1539</v>
      </c>
      <c r="F34" s="52" t="s">
        <v>1990</v>
      </c>
      <c r="Q34">
        <f>--ISNUMBER(SEARCH('RC Checklist'!$G$2,A34))</f>
        <v>0</v>
      </c>
      <c r="R34" t="str">
        <f>IF(Q34=1,COUNTIF($Q$2:$Q34,1),"")</f>
        <v/>
      </c>
      <c r="S34" t="str">
        <f>IFERROR(INDEX(ClientInfo[Full Name], MATCH(ROWS($R$2:$R34),ClientInfo[frequency], 0)),"")</f>
        <v/>
      </c>
    </row>
    <row r="35" spans="1:19">
      <c r="A35" t="str">
        <f>TRIM(CONCATENATE(ClientInfo[[#This Row],[First Name]], " ",ClientInfo[[#This Row],[Last Name]]))</f>
        <v>Angie Barrett</v>
      </c>
      <c r="B35" t="s">
        <v>1266</v>
      </c>
      <c r="C35" t="s">
        <v>1267</v>
      </c>
      <c r="F35" s="52" t="s">
        <v>1268</v>
      </c>
      <c r="Q35">
        <f>--ISNUMBER(SEARCH('RC Checklist'!$G$2,A35))</f>
        <v>0</v>
      </c>
      <c r="R35" t="str">
        <f>IF(Q35=1,COUNTIF($Q$2:$Q35,1),"")</f>
        <v/>
      </c>
      <c r="S35" t="str">
        <f>IFERROR(INDEX(ClientInfo[Full Name], MATCH(ROWS($R$2:$R35),ClientInfo[frequency], 0)),"")</f>
        <v/>
      </c>
    </row>
    <row r="36" spans="1:19">
      <c r="A36" t="str">
        <f>TRIM(CONCATENATE(ClientInfo[[#This Row],[First Name]], " ",ClientInfo[[#This Row],[Last Name]]))</f>
        <v>Angie Mayo</v>
      </c>
      <c r="B36" t="s">
        <v>1266</v>
      </c>
      <c r="C36" t="s">
        <v>2332</v>
      </c>
      <c r="D36" t="s">
        <v>2333</v>
      </c>
      <c r="E36" t="s">
        <v>2334</v>
      </c>
      <c r="F36" s="52">
        <v>4107710159</v>
      </c>
      <c r="H36" t="s">
        <v>2335</v>
      </c>
      <c r="O36" t="s">
        <v>2336</v>
      </c>
      <c r="Q36">
        <f>--ISNUMBER(SEARCH('RC Checklist'!$G$2,A36))</f>
        <v>0</v>
      </c>
      <c r="R36" t="str">
        <f>IF(Q36=1,COUNTIF($Q$2:$Q36,1),"")</f>
        <v/>
      </c>
      <c r="S36" t="str">
        <f>IFERROR(INDEX(ClientInfo[Full Name], MATCH(ROWS($R$2:$R36),ClientInfo[frequency], 0)),"")</f>
        <v/>
      </c>
    </row>
    <row r="37" spans="1:19">
      <c r="A37" t="str">
        <f>TRIM(CONCATENATE(ClientInfo[[#This Row],[First Name]], " ",ClientInfo[[#This Row],[Last Name]]))</f>
        <v>Ann Green</v>
      </c>
      <c r="B37" t="s">
        <v>753</v>
      </c>
      <c r="C37" t="s">
        <v>1011</v>
      </c>
      <c r="F37" s="52" t="s">
        <v>1686</v>
      </c>
      <c r="G37" s="52" t="s">
        <v>1687</v>
      </c>
      <c r="P37" t="s">
        <v>1688</v>
      </c>
      <c r="Q37">
        <f>--ISNUMBER(SEARCH('RC Checklist'!$G$2,A37))</f>
        <v>0</v>
      </c>
      <c r="R37" t="str">
        <f>IF(Q37=1,COUNTIF($Q$2:$Q37,1),"")</f>
        <v/>
      </c>
      <c r="S37" t="str">
        <f>IFERROR(INDEX(ClientInfo[Full Name], MATCH(ROWS($R$2:$R37),ClientInfo[frequency], 0)),"")</f>
        <v/>
      </c>
    </row>
    <row r="38" spans="1:19">
      <c r="A38" t="str">
        <f>TRIM(CONCATENATE(ClientInfo[[#This Row],[First Name]], " ",ClientInfo[[#This Row],[Last Name]]))</f>
        <v>Ann Hildebran</v>
      </c>
      <c r="B38" t="s">
        <v>753</v>
      </c>
      <c r="C38" t="s">
        <v>2193</v>
      </c>
      <c r="F38" s="52">
        <v>14436100614</v>
      </c>
      <c r="O38" t="s">
        <v>2194</v>
      </c>
      <c r="Q38">
        <f>--ISNUMBER(SEARCH('RC Checklist'!$G$2,A38))</f>
        <v>0</v>
      </c>
      <c r="R38" t="str">
        <f>IF(Q38=1,COUNTIF($Q$2:$Q38,1),"")</f>
        <v/>
      </c>
      <c r="S38" t="str">
        <f>IFERROR(INDEX(ClientInfo[Full Name], MATCH(ROWS($R$2:$R38),ClientInfo[frequency], 0)),"")</f>
        <v/>
      </c>
    </row>
    <row r="39" spans="1:19">
      <c r="A39" t="str">
        <f>TRIM(CONCATENATE(ClientInfo[[#This Row],[First Name]], " ",ClientInfo[[#This Row],[Last Name]]))</f>
        <v>Ann Todd</v>
      </c>
      <c r="B39" t="s">
        <v>753</v>
      </c>
      <c r="C39" t="s">
        <v>639</v>
      </c>
      <c r="F39" s="52" t="s">
        <v>754</v>
      </c>
      <c r="Q39">
        <f>--ISNUMBER(SEARCH('RC Checklist'!$G$2,A39))</f>
        <v>0</v>
      </c>
      <c r="R39" t="str">
        <f>IF(Q39=1,COUNTIF($Q$2:$Q39,1),"")</f>
        <v/>
      </c>
      <c r="S39" t="str">
        <f>IFERROR(INDEX(ClientInfo[Full Name], MATCH(ROWS($R$2:$R39),ClientInfo[frequency], 0)),"")</f>
        <v/>
      </c>
    </row>
    <row r="40" spans="1:19">
      <c r="A40" t="str">
        <f>TRIM(CONCATENATE(ClientInfo[[#This Row],[First Name]], " ",ClientInfo[[#This Row],[Last Name]]))</f>
        <v>Anne Imrie</v>
      </c>
      <c r="B40" t="s">
        <v>1020</v>
      </c>
      <c r="C40" t="s">
        <v>1909</v>
      </c>
      <c r="F40" s="52" t="s">
        <v>1910</v>
      </c>
      <c r="Q40">
        <f>--ISNUMBER(SEARCH('RC Checklist'!$G$2,A40))</f>
        <v>0</v>
      </c>
      <c r="R40" t="str">
        <f>IF(Q40=1,COUNTIF($Q$2:$Q40,1),"")</f>
        <v/>
      </c>
      <c r="S40" t="str">
        <f>IFERROR(INDEX(ClientInfo[Full Name], MATCH(ROWS($R$2:$R40),ClientInfo[frequency], 0)),"")</f>
        <v/>
      </c>
    </row>
    <row r="41" spans="1:19">
      <c r="A41" t="str">
        <f>TRIM(CONCATENATE(ClientInfo[[#This Row],[First Name]], " ",ClientInfo[[#This Row],[Last Name]]))</f>
        <v>Anne Lough</v>
      </c>
      <c r="B41" t="s">
        <v>1020</v>
      </c>
      <c r="C41" t="s">
        <v>1021</v>
      </c>
      <c r="F41" s="52" t="s">
        <v>1022</v>
      </c>
      <c r="Q41">
        <f>--ISNUMBER(SEARCH('RC Checklist'!$G$2,A41))</f>
        <v>0</v>
      </c>
      <c r="R41" t="str">
        <f>IF(Q41=1,COUNTIF($Q$2:$Q41,1),"")</f>
        <v/>
      </c>
      <c r="S41" t="str">
        <f>IFERROR(INDEX(ClientInfo[Full Name], MATCH(ROWS($R$2:$R41),ClientInfo[frequency], 0)),"")</f>
        <v/>
      </c>
    </row>
    <row r="42" spans="1:19">
      <c r="A42" t="str">
        <f>TRIM(CONCATENATE(ClientInfo[[#This Row],[First Name]], " ",ClientInfo[[#This Row],[Last Name]]))</f>
        <v>Annie East</v>
      </c>
      <c r="B42" t="s">
        <v>1141</v>
      </c>
      <c r="C42" t="s">
        <v>317</v>
      </c>
      <c r="F42" s="52" t="s">
        <v>1142</v>
      </c>
      <c r="Q42">
        <f>--ISNUMBER(SEARCH('RC Checklist'!$G$2,A42))</f>
        <v>0</v>
      </c>
      <c r="R42" t="str">
        <f>IF(Q42=1,COUNTIF($Q$2:$Q42,1),"")</f>
        <v/>
      </c>
      <c r="S42" t="str">
        <f>IFERROR(INDEX(ClientInfo[Full Name], MATCH(ROWS($R$2:$R42),ClientInfo[frequency], 0)),"")</f>
        <v/>
      </c>
    </row>
    <row r="43" spans="1:19">
      <c r="A43" t="str">
        <f>TRIM(CONCATENATE(ClientInfo[[#This Row],[First Name]], " ",ClientInfo[[#This Row],[Last Name]]))</f>
        <v>Anthony Hamiel</v>
      </c>
      <c r="B43" t="s">
        <v>503</v>
      </c>
      <c r="C43" t="s">
        <v>504</v>
      </c>
      <c r="D43" t="s">
        <v>505</v>
      </c>
      <c r="E43" t="s">
        <v>506</v>
      </c>
      <c r="F43" s="52">
        <v>8007247788</v>
      </c>
      <c r="O43" t="s">
        <v>507</v>
      </c>
      <c r="Q43">
        <f>--ISNUMBER(SEARCH('RC Checklist'!$G$2,A43))</f>
        <v>0</v>
      </c>
      <c r="R43" t="str">
        <f>IF(Q43=1,COUNTIF($Q$2:$Q43,1),"")</f>
        <v/>
      </c>
      <c r="S43" t="str">
        <f>IFERROR(INDEX(ClientInfo[Full Name], MATCH(ROWS($R$2:$R43),ClientInfo[frequency], 0)),"")</f>
        <v/>
      </c>
    </row>
    <row r="44" spans="1:19">
      <c r="A44" t="str">
        <f>TRIM(CONCATENATE(ClientInfo[[#This Row],[First Name]], " ",ClientInfo[[#This Row],[Last Name]]))</f>
        <v>Anton - Elilian Mazza</v>
      </c>
      <c r="B44" t="s">
        <v>850</v>
      </c>
      <c r="C44" t="s">
        <v>851</v>
      </c>
      <c r="H44" t="s">
        <v>852</v>
      </c>
      <c r="Q44">
        <f>--ISNUMBER(SEARCH('RC Checklist'!$G$2,A44))</f>
        <v>0</v>
      </c>
      <c r="R44" t="str">
        <f>IF(Q44=1,COUNTIF($Q$2:$Q44,1),"")</f>
        <v/>
      </c>
      <c r="S44" t="str">
        <f>IFERROR(INDEX(ClientInfo[Full Name], MATCH(ROWS($R$2:$R44),ClientInfo[frequency], 0)),"")</f>
        <v/>
      </c>
    </row>
    <row r="45" spans="1:19">
      <c r="A45" t="str">
        <f>TRIM(CONCATENATE(ClientInfo[[#This Row],[First Name]], " ",ClientInfo[[#This Row],[Last Name]]))</f>
        <v>Ashley Down</v>
      </c>
      <c r="B45" t="s">
        <v>841</v>
      </c>
      <c r="C45" t="s">
        <v>2284</v>
      </c>
      <c r="F45" s="52" t="s">
        <v>2285</v>
      </c>
      <c r="Q45">
        <f>--ISNUMBER(SEARCH('RC Checklist'!$G$2,A45))</f>
        <v>0</v>
      </c>
      <c r="R45" t="str">
        <f>IF(Q45=1,COUNTIF($Q$2:$Q45,1),"")</f>
        <v/>
      </c>
      <c r="S45" t="str">
        <f>IFERROR(INDEX(ClientInfo[Full Name], MATCH(ROWS($R$2:$R45),ClientInfo[frequency], 0)),"")</f>
        <v/>
      </c>
    </row>
    <row r="46" spans="1:19">
      <c r="A46" t="str">
        <f>TRIM(CONCATENATE(ClientInfo[[#This Row],[First Name]], " ",ClientInfo[[#This Row],[Last Name]]))</f>
        <v>Ashley Housley</v>
      </c>
      <c r="B46" t="s">
        <v>841</v>
      </c>
      <c r="C46" t="s">
        <v>2450</v>
      </c>
      <c r="D46" t="s">
        <v>2451</v>
      </c>
      <c r="F46" s="52" t="s">
        <v>2452</v>
      </c>
      <c r="H46" t="s">
        <v>2453</v>
      </c>
      <c r="Q46">
        <f>--ISNUMBER(SEARCH('RC Checklist'!$G$2,A46))</f>
        <v>0</v>
      </c>
      <c r="R46" t="str">
        <f>IF(Q46=1,COUNTIF($Q$2:$Q46,1),"")</f>
        <v/>
      </c>
      <c r="S46" t="str">
        <f>IFERROR(INDEX(ClientInfo[Full Name], MATCH(ROWS($R$2:$R46),ClientInfo[frequency], 0)),"")</f>
        <v/>
      </c>
    </row>
    <row r="47" spans="1:19">
      <c r="A47" t="str">
        <f>TRIM(CONCATENATE(ClientInfo[[#This Row],[First Name]], " ",ClientInfo[[#This Row],[Last Name]]))</f>
        <v>Ashley Tarran-Jones</v>
      </c>
      <c r="B47" t="s">
        <v>841</v>
      </c>
      <c r="C47" t="s">
        <v>842</v>
      </c>
      <c r="F47" s="52" t="s">
        <v>843</v>
      </c>
      <c r="H47" t="s">
        <v>844</v>
      </c>
      <c r="Q47">
        <f>--ISNUMBER(SEARCH('RC Checklist'!$G$2,A47))</f>
        <v>0</v>
      </c>
      <c r="R47" t="str">
        <f>IF(Q47=1,COUNTIF($Q$2:$Q47,1),"")</f>
        <v/>
      </c>
      <c r="S47" t="str">
        <f>IFERROR(INDEX(ClientInfo[Full Name], MATCH(ROWS($R$2:$R47),ClientInfo[frequency], 0)),"")</f>
        <v/>
      </c>
    </row>
    <row r="48" spans="1:19">
      <c r="A48" t="str">
        <f>TRIM(CONCATENATE(ClientInfo[[#This Row],[First Name]], " ",ClientInfo[[#This Row],[Last Name]]))</f>
        <v>Aunt Judy &amp; Uncle Bill</v>
      </c>
      <c r="B48" t="s">
        <v>584</v>
      </c>
      <c r="F48" s="52" t="s">
        <v>585</v>
      </c>
      <c r="G48" s="52" t="s">
        <v>586</v>
      </c>
      <c r="Q48">
        <f>--ISNUMBER(SEARCH('RC Checklist'!$G$2,A48))</f>
        <v>0</v>
      </c>
      <c r="R48" t="str">
        <f>IF(Q48=1,COUNTIF($Q$2:$Q48,1),"")</f>
        <v/>
      </c>
      <c r="S48" t="str">
        <f>IFERROR(INDEX(ClientInfo[Full Name], MATCH(ROWS($R$2:$R48),ClientInfo[frequency], 0)),"")</f>
        <v/>
      </c>
    </row>
    <row r="49" spans="1:19">
      <c r="A49" t="str">
        <f>TRIM(CONCATENATE(ClientInfo[[#This Row],[First Name]], " ",ClientInfo[[#This Row],[Last Name]]))</f>
        <v>Austin Brown</v>
      </c>
      <c r="B49" t="s">
        <v>1507</v>
      </c>
      <c r="C49" t="s">
        <v>1134</v>
      </c>
      <c r="F49" s="52">
        <v>14435208514</v>
      </c>
      <c r="Q49">
        <f>--ISNUMBER(SEARCH('RC Checklist'!$G$2,A49))</f>
        <v>0</v>
      </c>
      <c r="R49" t="str">
        <f>IF(Q49=1,COUNTIF($Q$2:$Q49,1),"")</f>
        <v/>
      </c>
      <c r="S49" t="str">
        <f>IFERROR(INDEX(ClientInfo[Full Name], MATCH(ROWS($R$2:$R49),ClientInfo[frequency], 0)),"")</f>
        <v/>
      </c>
    </row>
    <row r="50" spans="1:19">
      <c r="A50" t="str">
        <f>TRIM(CONCATENATE(ClientInfo[[#This Row],[First Name]], " ",ClientInfo[[#This Row],[Last Name]]))</f>
        <v>Babs</v>
      </c>
      <c r="B50" t="s">
        <v>2002</v>
      </c>
      <c r="F50" s="52" t="s">
        <v>2003</v>
      </c>
      <c r="Q50">
        <f>--ISNUMBER(SEARCH('RC Checklist'!$G$2,A50))</f>
        <v>0</v>
      </c>
      <c r="R50" t="str">
        <f>IF(Q50=1,COUNTIF($Q$2:$Q50,1),"")</f>
        <v/>
      </c>
      <c r="S50" t="str">
        <f>IFERROR(INDEX(ClientInfo[Full Name], MATCH(ROWS($R$2:$R50),ClientInfo[frequency], 0)),"")</f>
        <v/>
      </c>
    </row>
    <row r="51" spans="1:19">
      <c r="A51" t="str">
        <f>TRIM(CONCATENATE(ClientInfo[[#This Row],[First Name]], " ",ClientInfo[[#This Row],[Last Name]]))</f>
        <v>Bailey pirone</v>
      </c>
      <c r="B51" t="s">
        <v>382</v>
      </c>
      <c r="C51" t="s">
        <v>982</v>
      </c>
      <c r="F51" s="52">
        <v>4105989402</v>
      </c>
      <c r="Q51">
        <f>--ISNUMBER(SEARCH('RC Checklist'!$G$2,A51))</f>
        <v>0</v>
      </c>
      <c r="R51" t="str">
        <f>IF(Q51=1,COUNTIF($Q$2:$Q51,1),"")</f>
        <v/>
      </c>
      <c r="S51" t="str">
        <f>IFERROR(INDEX(ClientInfo[Full Name], MATCH(ROWS($R$2:$R51),ClientInfo[frequency], 0)),"")</f>
        <v/>
      </c>
    </row>
    <row r="52" spans="1:19">
      <c r="A52" t="str">
        <f>TRIM(CONCATENATE(ClientInfo[[#This Row],[First Name]], " ",ClientInfo[[#This Row],[Last Name]]))</f>
        <v>Baltimore County Inspections</v>
      </c>
      <c r="B52" t="s">
        <v>544</v>
      </c>
      <c r="D52" t="s">
        <v>544</v>
      </c>
      <c r="Q52">
        <f>--ISNUMBER(SEARCH('RC Checklist'!$G$2,A52))</f>
        <v>0</v>
      </c>
      <c r="R52" t="str">
        <f>IF(Q52=1,COUNTIF($Q$2:$Q52,1),"")</f>
        <v/>
      </c>
      <c r="S52" t="str">
        <f>IFERROR(INDEX(ClientInfo[Full Name], MATCH(ROWS($R$2:$R52),ClientInfo[frequency], 0)),"")</f>
        <v/>
      </c>
    </row>
    <row r="53" spans="1:19">
      <c r="A53" t="str">
        <f>TRIM(CONCATENATE(ClientInfo[[#This Row],[First Name]], " ",ClientInfo[[#This Row],[Last Name]]))</f>
        <v>Baltimore Granite Direct</v>
      </c>
      <c r="B53" t="s">
        <v>1586</v>
      </c>
      <c r="D53" t="s">
        <v>1586</v>
      </c>
      <c r="F53" s="52" t="s">
        <v>1587</v>
      </c>
      <c r="H53" t="s">
        <v>1588</v>
      </c>
      <c r="O53" t="s">
        <v>1589</v>
      </c>
      <c r="Q53">
        <f>--ISNUMBER(SEARCH('RC Checklist'!$G$2,A53))</f>
        <v>0</v>
      </c>
      <c r="R53" t="str">
        <f>IF(Q53=1,COUNTIF($Q$2:$Q53,1),"")</f>
        <v/>
      </c>
      <c r="S53" t="str">
        <f>IFERROR(INDEX(ClientInfo[Full Name], MATCH(ROWS($R$2:$R53),ClientInfo[frequency], 0)),"")</f>
        <v/>
      </c>
    </row>
    <row r="54" spans="1:19">
      <c r="A54" t="str">
        <f>TRIM(CONCATENATE(ClientInfo[[#This Row],[First Name]], " ",ClientInfo[[#This Row],[Last Name]]))</f>
        <v>Baltimore Window Factory</v>
      </c>
      <c r="B54" t="s">
        <v>1209</v>
      </c>
      <c r="D54" t="s">
        <v>1209</v>
      </c>
      <c r="F54" s="52" t="s">
        <v>1210</v>
      </c>
      <c r="O54" t="s">
        <v>1211</v>
      </c>
      <c r="Q54">
        <f>--ISNUMBER(SEARCH('RC Checklist'!$G$2,A54))</f>
        <v>0</v>
      </c>
      <c r="R54" t="str">
        <f>IF(Q54=1,COUNTIF($Q$2:$Q54,1),"")</f>
        <v/>
      </c>
      <c r="S54" t="str">
        <f>IFERROR(INDEX(ClientInfo[Full Name], MATCH(ROWS($R$2:$R54),ClientInfo[frequency], 0)),"")</f>
        <v/>
      </c>
    </row>
    <row r="55" spans="1:19">
      <c r="A55" t="str">
        <f>TRIM(CONCATENATE(ClientInfo[[#This Row],[First Name]], " ",ClientInfo[[#This Row],[Last Name]]))</f>
        <v>Barb</v>
      </c>
      <c r="B55" t="s">
        <v>2175</v>
      </c>
      <c r="D55" t="s">
        <v>2400</v>
      </c>
      <c r="F55" s="52" t="s">
        <v>2401</v>
      </c>
      <c r="H55" t="s">
        <v>2402</v>
      </c>
      <c r="Q55">
        <f>--ISNUMBER(SEARCH('RC Checklist'!$G$2,A55))</f>
        <v>0</v>
      </c>
      <c r="R55" t="str">
        <f>IF(Q55=1,COUNTIF($Q$2:$Q55,1),"")</f>
        <v/>
      </c>
      <c r="S55" t="str">
        <f>IFERROR(INDEX(ClientInfo[Full Name], MATCH(ROWS($R$2:$R55),ClientInfo[frequency], 0)),"")</f>
        <v/>
      </c>
    </row>
    <row r="56" spans="1:19">
      <c r="A56" t="str">
        <f>TRIM(CONCATENATE(ClientInfo[[#This Row],[First Name]], " ",ClientInfo[[#This Row],[Last Name]]))</f>
        <v>Barb Groomer</v>
      </c>
      <c r="B56" t="s">
        <v>2175</v>
      </c>
      <c r="C56" t="s">
        <v>2176</v>
      </c>
      <c r="D56" t="s">
        <v>2177</v>
      </c>
      <c r="Q56">
        <f>--ISNUMBER(SEARCH('RC Checklist'!$G$2,A56))</f>
        <v>0</v>
      </c>
      <c r="R56" t="str">
        <f>IF(Q56=1,COUNTIF($Q$2:$Q56,1),"")</f>
        <v/>
      </c>
      <c r="S56" t="str">
        <f>IFERROR(INDEX(ClientInfo[Full Name], MATCH(ROWS($R$2:$R56),ClientInfo[frequency], 0)),"")</f>
        <v/>
      </c>
    </row>
    <row r="57" spans="1:19">
      <c r="A57" t="str">
        <f>TRIM(CONCATENATE(ClientInfo[[#This Row],[First Name]], " ",ClientInfo[[#This Row],[Last Name]]))</f>
        <v>Barbara Bruinstien</v>
      </c>
      <c r="B57" t="s">
        <v>1793</v>
      </c>
      <c r="C57" t="s">
        <v>1794</v>
      </c>
      <c r="F57" s="52" t="s">
        <v>1795</v>
      </c>
      <c r="Q57">
        <f>--ISNUMBER(SEARCH('RC Checklist'!$G$2,A57))</f>
        <v>0</v>
      </c>
      <c r="R57" t="str">
        <f>IF(Q57=1,COUNTIF($Q$2:$Q57,1),"")</f>
        <v/>
      </c>
      <c r="S57" t="str">
        <f>IFERROR(INDEX(ClientInfo[Full Name], MATCH(ROWS($R$2:$R57),ClientInfo[frequency], 0)),"")</f>
        <v/>
      </c>
    </row>
    <row r="58" spans="1:19">
      <c r="A58" t="str">
        <f>TRIM(CONCATENATE(ClientInfo[[#This Row],[First Name]], " ",ClientInfo[[#This Row],[Last Name]]))</f>
        <v>Barbie</v>
      </c>
      <c r="B58" t="s">
        <v>1005</v>
      </c>
      <c r="F58" s="52">
        <v>4105998384</v>
      </c>
      <c r="Q58">
        <f>--ISNUMBER(SEARCH('RC Checklist'!$G$2,A58))</f>
        <v>0</v>
      </c>
      <c r="R58" t="str">
        <f>IF(Q58=1,COUNTIF($Q$2:$Q58,1),"")</f>
        <v/>
      </c>
      <c r="S58" t="str">
        <f>IFERROR(INDEX(ClientInfo[Full Name], MATCH(ROWS($R$2:$R58),ClientInfo[frequency], 0)),"")</f>
        <v/>
      </c>
    </row>
    <row r="59" spans="1:19">
      <c r="A59" t="str">
        <f>TRIM(CONCATENATE(ClientInfo[[#This Row],[First Name]], " ",ClientInfo[[#This Row],[Last Name]]))</f>
        <v>Barkley Thomas Jr</v>
      </c>
      <c r="B59" t="s">
        <v>1354</v>
      </c>
      <c r="C59" t="s">
        <v>1355</v>
      </c>
      <c r="F59" s="52" t="s">
        <v>1356</v>
      </c>
      <c r="Q59">
        <f>--ISNUMBER(SEARCH('RC Checklist'!$G$2,A59))</f>
        <v>0</v>
      </c>
      <c r="R59" t="str">
        <f>IF(Q59=1,COUNTIF($Q$2:$Q59,1),"")</f>
        <v/>
      </c>
      <c r="S59" t="str">
        <f>IFERROR(INDEX(ClientInfo[Full Name], MATCH(ROWS($R$2:$R59),ClientInfo[frequency], 0)),"")</f>
        <v/>
      </c>
    </row>
    <row r="60" spans="1:19">
      <c r="A60" t="str">
        <f>TRIM(CONCATENATE(ClientInfo[[#This Row],[First Name]], " ",ClientInfo[[#This Row],[Last Name]]))</f>
        <v>Barry Diggins</v>
      </c>
      <c r="B60" t="s">
        <v>1928</v>
      </c>
      <c r="C60" t="s">
        <v>1929</v>
      </c>
      <c r="F60" s="52" t="s">
        <v>1930</v>
      </c>
      <c r="Q60">
        <f>--ISNUMBER(SEARCH('RC Checklist'!$G$2,A60))</f>
        <v>0</v>
      </c>
      <c r="R60" t="str">
        <f>IF(Q60=1,COUNTIF($Q$2:$Q60,1),"")</f>
        <v/>
      </c>
      <c r="S60" t="str">
        <f>IFERROR(INDEX(ClientInfo[Full Name], MATCH(ROWS($R$2:$R60),ClientInfo[frequency], 0)),"")</f>
        <v/>
      </c>
    </row>
    <row r="61" spans="1:19">
      <c r="A61" t="str">
        <f>TRIM(CONCATENATE(ClientInfo[[#This Row],[First Name]], " ",ClientInfo[[#This Row],[Last Name]]))</f>
        <v>Bedal</v>
      </c>
      <c r="B61" t="s">
        <v>810</v>
      </c>
      <c r="F61" s="52">
        <v>4432715141</v>
      </c>
      <c r="Q61">
        <f>--ISNUMBER(SEARCH('RC Checklist'!$G$2,A61))</f>
        <v>0</v>
      </c>
      <c r="R61" t="str">
        <f>IF(Q61=1,COUNTIF($Q$2:$Q61,1),"")</f>
        <v/>
      </c>
      <c r="S61" t="str">
        <f>IFERROR(INDEX(ClientInfo[Full Name], MATCH(ROWS($R$2:$R61),ClientInfo[frequency], 0)),"")</f>
        <v/>
      </c>
    </row>
    <row r="62" spans="1:19">
      <c r="A62" t="str">
        <f>TRIM(CONCATENATE(ClientInfo[[#This Row],[First Name]], " ",ClientInfo[[#This Row],[Last Name]]))</f>
        <v>Bel Air Auto Auction</v>
      </c>
      <c r="B62" t="s">
        <v>1677</v>
      </c>
      <c r="D62" t="s">
        <v>1677</v>
      </c>
      <c r="F62" s="52" t="s">
        <v>1678</v>
      </c>
      <c r="Q62">
        <f>--ISNUMBER(SEARCH('RC Checklist'!$G$2,A62))</f>
        <v>0</v>
      </c>
      <c r="R62" t="str">
        <f>IF(Q62=1,COUNTIF($Q$2:$Q62,1),"")</f>
        <v/>
      </c>
      <c r="S62" t="str">
        <f>IFERROR(INDEX(ClientInfo[Full Name], MATCH(ROWS($R$2:$R62),ClientInfo[frequency], 0)),"")</f>
        <v/>
      </c>
    </row>
    <row r="63" spans="1:19">
      <c r="A63" t="str">
        <f>TRIM(CONCATENATE(ClientInfo[[#This Row],[First Name]], " ",ClientInfo[[#This Row],[Last Name]]))</f>
        <v>Belair Road Supply</v>
      </c>
      <c r="B63" t="s">
        <v>2810</v>
      </c>
      <c r="D63" t="s">
        <v>2810</v>
      </c>
      <c r="F63" s="52" t="s">
        <v>2811</v>
      </c>
      <c r="O63" t="s">
        <v>2812</v>
      </c>
      <c r="Q63">
        <f>--ISNUMBER(SEARCH('RC Checklist'!$G$2,A63))</f>
        <v>0</v>
      </c>
      <c r="R63" t="str">
        <f>IF(Q63=1,COUNTIF($Q$2:$Q63,1),"")</f>
        <v/>
      </c>
      <c r="S63" t="str">
        <f>IFERROR(INDEX(ClientInfo[Full Name], MATCH(ROWS($R$2:$R63),ClientInfo[frequency], 0)),"")</f>
        <v/>
      </c>
    </row>
    <row r="64" spans="1:19">
      <c r="A64" t="str">
        <f>TRIM(CONCATENATE(ClientInfo[[#This Row],[First Name]], " ",ClientInfo[[#This Row],[Last Name]]))</f>
        <v>Ben &amp; Hope Metzler</v>
      </c>
      <c r="B64" t="s">
        <v>2149</v>
      </c>
      <c r="C64" t="s">
        <v>2150</v>
      </c>
      <c r="Q64">
        <f>--ISNUMBER(SEARCH('RC Checklist'!$G$2,A64))</f>
        <v>0</v>
      </c>
      <c r="R64" t="str">
        <f>IF(Q64=1,COUNTIF($Q$2:$Q64,1),"")</f>
        <v/>
      </c>
      <c r="S64" t="str">
        <f>IFERROR(INDEX(ClientInfo[Full Name], MATCH(ROWS($R$2:$R64),ClientInfo[frequency], 0)),"")</f>
        <v/>
      </c>
    </row>
    <row r="65" spans="1:19">
      <c r="A65" t="str">
        <f>TRIM(CONCATENATE(ClientInfo[[#This Row],[First Name]], " ",ClientInfo[[#This Row],[Last Name]]))</f>
        <v>Bernadette Toohey</v>
      </c>
      <c r="B65" t="s">
        <v>1217</v>
      </c>
      <c r="C65" t="s">
        <v>1218</v>
      </c>
      <c r="F65" s="52">
        <v>14103821279</v>
      </c>
      <c r="H65" t="s">
        <v>1219</v>
      </c>
      <c r="O65" t="s">
        <v>1220</v>
      </c>
      <c r="Q65">
        <f>--ISNUMBER(SEARCH('RC Checklist'!$G$2,A65))</f>
        <v>0</v>
      </c>
      <c r="R65" t="str">
        <f>IF(Q65=1,COUNTIF($Q$2:$Q65,1),"")</f>
        <v/>
      </c>
      <c r="S65" t="str">
        <f>IFERROR(INDEX(ClientInfo[Full Name], MATCH(ROWS($R$2:$R65),ClientInfo[frequency], 0)),"")</f>
        <v/>
      </c>
    </row>
    <row r="66" spans="1:19">
      <c r="A66" t="str">
        <f>TRIM(CONCATENATE(ClientInfo[[#This Row],[First Name]], " ",ClientInfo[[#This Row],[Last Name]]))</f>
        <v>Bernice Wolfson</v>
      </c>
      <c r="B66" t="s">
        <v>1329</v>
      </c>
      <c r="C66" t="s">
        <v>1330</v>
      </c>
      <c r="F66" s="52">
        <v>4103369012</v>
      </c>
      <c r="H66" t="s">
        <v>1331</v>
      </c>
      <c r="O66" t="s">
        <v>1332</v>
      </c>
      <c r="Q66">
        <f>--ISNUMBER(SEARCH('RC Checklist'!$G$2,A66))</f>
        <v>0</v>
      </c>
      <c r="R66" t="str">
        <f>IF(Q66=1,COUNTIF($Q$2:$Q66,1),"")</f>
        <v/>
      </c>
      <c r="S66" t="str">
        <f>IFERROR(INDEX(ClientInfo[Full Name], MATCH(ROWS($R$2:$R66),ClientInfo[frequency], 0)),"")</f>
        <v/>
      </c>
    </row>
    <row r="67" spans="1:19">
      <c r="A67" t="str">
        <f>TRIM(CONCATENATE(ClientInfo[[#This Row],[First Name]], " ",ClientInfo[[#This Row],[Last Name]]))</f>
        <v>Beth braunguard</v>
      </c>
      <c r="B67" t="s">
        <v>916</v>
      </c>
      <c r="C67" t="s">
        <v>935</v>
      </c>
      <c r="F67" s="52">
        <v>4432864772</v>
      </c>
      <c r="Q67">
        <f>--ISNUMBER(SEARCH('RC Checklist'!$G$2,A67))</f>
        <v>0</v>
      </c>
      <c r="R67" t="str">
        <f>IF(Q67=1,COUNTIF($Q$2:$Q67,1),"")</f>
        <v/>
      </c>
      <c r="S67" t="str">
        <f>IFERROR(INDEX(ClientInfo[Full Name], MATCH(ROWS($R$2:$R67),ClientInfo[frequency], 0)),"")</f>
        <v/>
      </c>
    </row>
    <row r="68" spans="1:19">
      <c r="A68" t="str">
        <f>TRIM(CONCATENATE(ClientInfo[[#This Row],[First Name]], " ",ClientInfo[[#This Row],[Last Name]]))</f>
        <v>Beth Cushing</v>
      </c>
      <c r="B68" t="s">
        <v>916</v>
      </c>
      <c r="C68" t="s">
        <v>958</v>
      </c>
      <c r="F68" s="52">
        <v>4103081654</v>
      </c>
      <c r="O68" t="s">
        <v>959</v>
      </c>
      <c r="Q68">
        <f>--ISNUMBER(SEARCH('RC Checklist'!$G$2,A68))</f>
        <v>0</v>
      </c>
      <c r="R68" t="str">
        <f>IF(Q68=1,COUNTIF($Q$2:$Q68,1),"")</f>
        <v/>
      </c>
      <c r="S68" t="str">
        <f>IFERROR(INDEX(ClientInfo[Full Name], MATCH(ROWS($R$2:$R68),ClientInfo[frequency], 0)),"")</f>
        <v/>
      </c>
    </row>
    <row r="69" spans="1:19">
      <c r="A69" t="str">
        <f>TRIM(CONCATENATE(ClientInfo[[#This Row],[First Name]], " ",ClientInfo[[#This Row],[Last Name]]))</f>
        <v>Beth Fannin</v>
      </c>
      <c r="B69" t="s">
        <v>916</v>
      </c>
      <c r="C69" t="s">
        <v>214</v>
      </c>
      <c r="F69" s="52" t="s">
        <v>1223</v>
      </c>
      <c r="Q69">
        <f>--ISNUMBER(SEARCH('RC Checklist'!$G$2,A69))</f>
        <v>0</v>
      </c>
      <c r="R69" t="str">
        <f>IF(Q69=1,COUNTIF($Q$2:$Q69,1),"")</f>
        <v/>
      </c>
      <c r="S69" t="str">
        <f>IFERROR(INDEX(ClientInfo[Full Name], MATCH(ROWS($R$2:$R69),ClientInfo[frequency], 0)),"")</f>
        <v/>
      </c>
    </row>
    <row r="70" spans="1:19">
      <c r="A70" t="str">
        <f>TRIM(CONCATENATE(ClientInfo[[#This Row],[First Name]], " ",ClientInfo[[#This Row],[Last Name]]))</f>
        <v>Beth Kosiak</v>
      </c>
      <c r="B70" t="s">
        <v>916</v>
      </c>
      <c r="C70" t="s">
        <v>1322</v>
      </c>
      <c r="F70" s="52" t="s">
        <v>1323</v>
      </c>
      <c r="Q70">
        <f>--ISNUMBER(SEARCH('RC Checklist'!$G$2,A70))</f>
        <v>0</v>
      </c>
      <c r="R70" t="str">
        <f>IF(Q70=1,COUNTIF($Q$2:$Q70,1),"")</f>
        <v/>
      </c>
      <c r="S70" t="str">
        <f>IFERROR(INDEX(ClientInfo[Full Name], MATCH(ROWS($R$2:$R70),ClientInfo[frequency], 0)),"")</f>
        <v/>
      </c>
    </row>
    <row r="71" spans="1:19">
      <c r="A71" t="str">
        <f>TRIM(CONCATENATE(ClientInfo[[#This Row],[First Name]], " ",ClientInfo[[#This Row],[Last Name]]))</f>
        <v>Beth Lansinger</v>
      </c>
      <c r="B71" t="s">
        <v>916</v>
      </c>
      <c r="C71" t="s">
        <v>951</v>
      </c>
      <c r="F71" s="52" t="s">
        <v>952</v>
      </c>
      <c r="Q71">
        <f>--ISNUMBER(SEARCH('RC Checklist'!$G$2,A71))</f>
        <v>0</v>
      </c>
      <c r="R71" t="str">
        <f>IF(Q71=1,COUNTIF($Q$2:$Q71,1),"")</f>
        <v/>
      </c>
      <c r="S71" t="str">
        <f>IFERROR(INDEX(ClientInfo[Full Name], MATCH(ROWS($R$2:$R71),ClientInfo[frequency], 0)),"")</f>
        <v/>
      </c>
    </row>
    <row r="72" spans="1:19">
      <c r="A72" t="str">
        <f>TRIM(CONCATENATE(ClientInfo[[#This Row],[First Name]], " ",ClientInfo[[#This Row],[Last Name]]))</f>
        <v>Beth Raugh</v>
      </c>
      <c r="B72" t="s">
        <v>916</v>
      </c>
      <c r="C72" t="s">
        <v>917</v>
      </c>
      <c r="F72" s="52" t="s">
        <v>918</v>
      </c>
      <c r="Q72">
        <f>--ISNUMBER(SEARCH('RC Checklist'!$G$2,A72))</f>
        <v>0</v>
      </c>
      <c r="R72" t="str">
        <f>IF(Q72=1,COUNTIF($Q$2:$Q72,1),"")</f>
        <v/>
      </c>
      <c r="S72" t="str">
        <f>IFERROR(INDEX(ClientInfo[Full Name], MATCH(ROWS($R$2:$R72),ClientInfo[frequency], 0)),"")</f>
        <v/>
      </c>
    </row>
    <row r="73" spans="1:19">
      <c r="A73" t="str">
        <f>TRIM(CONCATENATE(ClientInfo[[#This Row],[First Name]], " ",ClientInfo[[#This Row],[Last Name]]))</f>
        <v>Beth Venn</v>
      </c>
      <c r="B73" t="s">
        <v>916</v>
      </c>
      <c r="C73" t="s">
        <v>2372</v>
      </c>
      <c r="F73" s="52" t="s">
        <v>2373</v>
      </c>
      <c r="Q73">
        <f>--ISNUMBER(SEARCH('RC Checklist'!$G$2,A73))</f>
        <v>0</v>
      </c>
      <c r="R73" t="str">
        <f>IF(Q73=1,COUNTIF($Q$2:$Q73,1),"")</f>
        <v/>
      </c>
      <c r="S73" t="str">
        <f>IFERROR(INDEX(ClientInfo[Full Name], MATCH(ROWS($R$2:$R73),ClientInfo[frequency], 0)),"")</f>
        <v/>
      </c>
    </row>
    <row r="74" spans="1:19">
      <c r="A74" t="str">
        <f>TRIM(CONCATENATE(ClientInfo[[#This Row],[First Name]], " ",ClientInfo[[#This Row],[Last Name]]))</f>
        <v>Beverly Janson</v>
      </c>
      <c r="B74" t="s">
        <v>1058</v>
      </c>
      <c r="C74" t="s">
        <v>1059</v>
      </c>
      <c r="D74" t="s">
        <v>1060</v>
      </c>
      <c r="E74" t="s">
        <v>1061</v>
      </c>
      <c r="F74" s="52">
        <v>4105731710</v>
      </c>
      <c r="O74" t="s">
        <v>1062</v>
      </c>
      <c r="Q74">
        <f>--ISNUMBER(SEARCH('RC Checklist'!$G$2,A74))</f>
        <v>0</v>
      </c>
      <c r="R74" t="str">
        <f>IF(Q74=1,COUNTIF($Q$2:$Q74,1),"")</f>
        <v/>
      </c>
      <c r="S74" t="str">
        <f>IFERROR(INDEX(ClientInfo[Full Name], MATCH(ROWS($R$2:$R74),ClientInfo[frequency], 0)),"")</f>
        <v/>
      </c>
    </row>
    <row r="75" spans="1:19">
      <c r="A75" t="str">
        <f>TRIM(CONCATENATE(ClientInfo[[#This Row],[First Name]], " ",ClientInfo[[#This Row],[Last Name]]))</f>
        <v>Bg-e</v>
      </c>
      <c r="B75" t="s">
        <v>486</v>
      </c>
      <c r="F75" s="52" t="s">
        <v>487</v>
      </c>
      <c r="G75" s="52" t="s">
        <v>488</v>
      </c>
      <c r="Q75">
        <f>--ISNUMBER(SEARCH('RC Checklist'!$G$2,A75))</f>
        <v>0</v>
      </c>
      <c r="R75" t="str">
        <f>IF(Q75=1,COUNTIF($Q$2:$Q75,1),"")</f>
        <v/>
      </c>
      <c r="S75" t="str">
        <f>IFERROR(INDEX(ClientInfo[Full Name], MATCH(ROWS($R$2:$R75),ClientInfo[frequency], 0)),"")</f>
        <v/>
      </c>
    </row>
    <row r="76" spans="1:19">
      <c r="A76" t="str">
        <f>TRIM(CONCATENATE(ClientInfo[[#This Row],[First Name]], " ",ClientInfo[[#This Row],[Last Name]]))</f>
        <v>Big Tree Auto Brokers</v>
      </c>
      <c r="B76" t="s">
        <v>2734</v>
      </c>
      <c r="D76" t="s">
        <v>2734</v>
      </c>
      <c r="F76" s="52">
        <v>17176157915</v>
      </c>
      <c r="Q76">
        <f>--ISNUMBER(SEARCH('RC Checklist'!$G$2,A76))</f>
        <v>0</v>
      </c>
      <c r="R76" t="str">
        <f>IF(Q76=1,COUNTIF($Q$2:$Q76,1),"")</f>
        <v/>
      </c>
      <c r="S76" t="str">
        <f>IFERROR(INDEX(ClientInfo[Full Name], MATCH(ROWS($R$2:$R76),ClientInfo[frequency], 0)),"")</f>
        <v/>
      </c>
    </row>
    <row r="77" spans="1:19">
      <c r="A77" t="str">
        <f>TRIM(CONCATENATE(ClientInfo[[#This Row],[First Name]], " ",ClientInfo[[#This Row],[Last Name]]))</f>
        <v>Bill &amp; Carol Petterson</v>
      </c>
      <c r="B77" t="s">
        <v>311</v>
      </c>
      <c r="C77" t="s">
        <v>312</v>
      </c>
      <c r="F77" s="52">
        <v>4102526350</v>
      </c>
      <c r="G77" s="52">
        <v>4107107144</v>
      </c>
      <c r="P77">
        <v>2399</v>
      </c>
      <c r="Q77">
        <f>--ISNUMBER(SEARCH('RC Checklist'!$G$2,A77))</f>
        <v>0</v>
      </c>
      <c r="R77" t="str">
        <f>IF(Q77=1,COUNTIF($Q$2:$Q77,1),"")</f>
        <v/>
      </c>
      <c r="S77" t="str">
        <f>IFERROR(INDEX(ClientInfo[Full Name], MATCH(ROWS($R$2:$R77),ClientInfo[frequency], 0)),"")</f>
        <v/>
      </c>
    </row>
    <row r="78" spans="1:19">
      <c r="A78" t="str">
        <f>TRIM(CONCATENATE(ClientInfo[[#This Row],[First Name]], " ",ClientInfo[[#This Row],[Last Name]]))</f>
        <v>Bill &amp; Karen Zoli</v>
      </c>
      <c r="B78" t="s">
        <v>1082</v>
      </c>
      <c r="C78" t="s">
        <v>1083</v>
      </c>
      <c r="F78" s="52" t="s">
        <v>1084</v>
      </c>
      <c r="O78" t="s">
        <v>1085</v>
      </c>
      <c r="Q78">
        <f>--ISNUMBER(SEARCH('RC Checklist'!$G$2,A78))</f>
        <v>0</v>
      </c>
      <c r="R78" t="str">
        <f>IF(Q78=1,COUNTIF($Q$2:$Q78,1),"")</f>
        <v/>
      </c>
      <c r="S78" t="str">
        <f>IFERROR(INDEX(ClientInfo[Full Name], MATCH(ROWS($R$2:$R78),ClientInfo[frequency], 0)),"")</f>
        <v/>
      </c>
    </row>
    <row r="79" spans="1:19">
      <c r="A79" t="str">
        <f>TRIM(CONCATENATE(ClientInfo[[#This Row],[First Name]], " ",ClientInfo[[#This Row],[Last Name]]))</f>
        <v>Bill bolton</v>
      </c>
      <c r="B79" t="s">
        <v>131</v>
      </c>
      <c r="C79" t="s">
        <v>772</v>
      </c>
      <c r="F79" s="52">
        <v>4104597595</v>
      </c>
      <c r="Q79">
        <f>--ISNUMBER(SEARCH('RC Checklist'!$G$2,A79))</f>
        <v>0</v>
      </c>
      <c r="R79" t="str">
        <f>IF(Q79=1,COUNTIF($Q$2:$Q79,1),"")</f>
        <v/>
      </c>
      <c r="S79" t="str">
        <f>IFERROR(INDEX(ClientInfo[Full Name], MATCH(ROWS($R$2:$R79),ClientInfo[frequency], 0)),"")</f>
        <v/>
      </c>
    </row>
    <row r="80" spans="1:19">
      <c r="A80" t="str">
        <f>TRIM(CONCATENATE(ClientInfo[[#This Row],[First Name]], " ",ClientInfo[[#This Row],[Last Name]]))</f>
        <v>Bill Butz</v>
      </c>
      <c r="B80" t="s">
        <v>131</v>
      </c>
      <c r="C80" t="s">
        <v>1452</v>
      </c>
      <c r="F80" s="52" t="s">
        <v>1613</v>
      </c>
      <c r="Q80">
        <f>--ISNUMBER(SEARCH('RC Checklist'!$G$2,A80))</f>
        <v>0</v>
      </c>
      <c r="R80" t="str">
        <f>IF(Q80=1,COUNTIF($Q$2:$Q80,1),"")</f>
        <v/>
      </c>
      <c r="S80" t="str">
        <f>IFERROR(INDEX(ClientInfo[Full Name], MATCH(ROWS($R$2:$R80),ClientInfo[frequency], 0)),"")</f>
        <v/>
      </c>
    </row>
    <row r="81" spans="1:19">
      <c r="A81" t="str">
        <f>TRIM(CONCATENATE(ClientInfo[[#This Row],[First Name]], " ",ClientInfo[[#This Row],[Last Name]]))</f>
        <v>Bill Evans</v>
      </c>
      <c r="B81" t="s">
        <v>131</v>
      </c>
      <c r="C81" t="s">
        <v>132</v>
      </c>
      <c r="E81" t="s">
        <v>133</v>
      </c>
      <c r="F81" s="52">
        <v>4109770115</v>
      </c>
      <c r="H81" t="s">
        <v>134</v>
      </c>
      <c r="O81" t="s">
        <v>135</v>
      </c>
      <c r="Q81">
        <f>--ISNUMBER(SEARCH('RC Checklist'!$G$2,A81))</f>
        <v>0</v>
      </c>
      <c r="R81" t="str">
        <f>IF(Q81=1,COUNTIF($Q$2:$Q81,1),"")</f>
        <v/>
      </c>
      <c r="S81" t="str">
        <f>IFERROR(INDEX(ClientInfo[Full Name], MATCH(ROWS($R$2:$R81),ClientInfo[frequency], 0)),"")</f>
        <v/>
      </c>
    </row>
    <row r="82" spans="1:19">
      <c r="A82" t="str">
        <f>TRIM(CONCATENATE(ClientInfo[[#This Row],[First Name]], " ",ClientInfo[[#This Row],[Last Name]]))</f>
        <v>Bill fannin</v>
      </c>
      <c r="B82" t="s">
        <v>131</v>
      </c>
      <c r="C82" t="s">
        <v>1207</v>
      </c>
      <c r="F82" s="52">
        <v>4106926255</v>
      </c>
      <c r="G82" s="52">
        <v>4105156464</v>
      </c>
      <c r="O82" t="s">
        <v>1208</v>
      </c>
      <c r="Q82">
        <f>--ISNUMBER(SEARCH('RC Checklist'!$G$2,A82))</f>
        <v>0</v>
      </c>
      <c r="R82" t="str">
        <f>IF(Q82=1,COUNTIF($Q$2:$Q82,1),"")</f>
        <v/>
      </c>
      <c r="S82" t="str">
        <f>IFERROR(INDEX(ClientInfo[Full Name], MATCH(ROWS($R$2:$R82),ClientInfo[frequency], 0)),"")</f>
        <v/>
      </c>
    </row>
    <row r="83" spans="1:19">
      <c r="A83" t="str">
        <f>TRIM(CONCATENATE(ClientInfo[[#This Row],[First Name]], " ",ClientInfo[[#This Row],[Last Name]]))</f>
        <v>Bill Gould</v>
      </c>
      <c r="B83" t="s">
        <v>131</v>
      </c>
      <c r="C83" t="s">
        <v>2337</v>
      </c>
      <c r="F83" s="52" t="s">
        <v>2338</v>
      </c>
      <c r="Q83">
        <f>--ISNUMBER(SEARCH('RC Checklist'!$G$2,A83))</f>
        <v>0</v>
      </c>
      <c r="R83" t="str">
        <f>IF(Q83=1,COUNTIF($Q$2:$Q83,1),"")</f>
        <v/>
      </c>
      <c r="S83" t="str">
        <f>IFERROR(INDEX(ClientInfo[Full Name], MATCH(ROWS($R$2:$R83),ClientInfo[frequency], 0)),"")</f>
        <v/>
      </c>
    </row>
    <row r="84" spans="1:19">
      <c r="A84" t="str">
        <f>TRIM(CONCATENATE(ClientInfo[[#This Row],[First Name]], " ",ClientInfo[[#This Row],[Last Name]]))</f>
        <v>Bill Heatherington</v>
      </c>
      <c r="B84" t="s">
        <v>131</v>
      </c>
      <c r="C84" t="s">
        <v>1751</v>
      </c>
      <c r="F84" s="52">
        <v>4104568599</v>
      </c>
      <c r="Q84">
        <f>--ISNUMBER(SEARCH('RC Checklist'!$G$2,A84))</f>
        <v>0</v>
      </c>
      <c r="R84" t="str">
        <f>IF(Q84=1,COUNTIF($Q$2:$Q84,1),"")</f>
        <v/>
      </c>
      <c r="S84" t="str">
        <f>IFERROR(INDEX(ClientInfo[Full Name], MATCH(ROWS($R$2:$R84),ClientInfo[frequency], 0)),"")</f>
        <v/>
      </c>
    </row>
    <row r="85" spans="1:19">
      <c r="A85" t="str">
        <f>TRIM(CONCATENATE(ClientInfo[[#This Row],[First Name]], " ",ClientInfo[[#This Row],[Last Name]]))</f>
        <v>Bill hoffman</v>
      </c>
      <c r="B85" t="s">
        <v>131</v>
      </c>
      <c r="C85" t="s">
        <v>321</v>
      </c>
      <c r="F85" s="52">
        <v>4103661507</v>
      </c>
      <c r="O85" t="s">
        <v>322</v>
      </c>
      <c r="Q85">
        <f>--ISNUMBER(SEARCH('RC Checklist'!$G$2,A85))</f>
        <v>0</v>
      </c>
      <c r="R85" t="str">
        <f>IF(Q85=1,COUNTIF($Q$2:$Q85,1),"")</f>
        <v/>
      </c>
      <c r="S85" t="str">
        <f>IFERROR(INDEX(ClientInfo[Full Name], MATCH(ROWS($R$2:$R85),ClientInfo[frequency], 0)),"")</f>
        <v/>
      </c>
    </row>
    <row r="86" spans="1:19">
      <c r="A86" t="str">
        <f>TRIM(CONCATENATE(ClientInfo[[#This Row],[First Name]], " ",ClientInfo[[#This Row],[Last Name]]))</f>
        <v>Bill Kable</v>
      </c>
      <c r="B86" t="s">
        <v>131</v>
      </c>
      <c r="C86" t="s">
        <v>2622</v>
      </c>
      <c r="F86" s="52">
        <v>4102276485</v>
      </c>
      <c r="O86" t="s">
        <v>2623</v>
      </c>
      <c r="Q86">
        <f>--ISNUMBER(SEARCH('RC Checklist'!$G$2,A86))</f>
        <v>0</v>
      </c>
      <c r="R86" t="str">
        <f>IF(Q86=1,COUNTIF($Q$2:$Q86,1),"")</f>
        <v/>
      </c>
      <c r="S86" t="str">
        <f>IFERROR(INDEX(ClientInfo[Full Name], MATCH(ROWS($R$2:$R86),ClientInfo[frequency], 0)),"")</f>
        <v/>
      </c>
    </row>
    <row r="87" spans="1:19">
      <c r="A87" t="str">
        <f>TRIM(CONCATENATE(ClientInfo[[#This Row],[First Name]], " ",ClientInfo[[#This Row],[Last Name]]))</f>
        <v>Bill kidd parts</v>
      </c>
      <c r="B87" t="s">
        <v>131</v>
      </c>
      <c r="C87" t="s">
        <v>2239</v>
      </c>
      <c r="F87" s="52">
        <v>4106668900</v>
      </c>
      <c r="Q87">
        <f>--ISNUMBER(SEARCH('RC Checklist'!$G$2,A87))</f>
        <v>0</v>
      </c>
      <c r="R87" t="str">
        <f>IF(Q87=1,COUNTIF($Q$2:$Q87,1),"")</f>
        <v/>
      </c>
      <c r="S87" t="str">
        <f>IFERROR(INDEX(ClientInfo[Full Name], MATCH(ROWS($R$2:$R87),ClientInfo[frequency], 0)),"")</f>
        <v/>
      </c>
    </row>
    <row r="88" spans="1:19">
      <c r="A88" t="str">
        <f>TRIM(CONCATENATE(ClientInfo[[#This Row],[First Name]], " ",ClientInfo[[#This Row],[Last Name]]))</f>
        <v>Bill Mitcherling</v>
      </c>
      <c r="B88" t="s">
        <v>131</v>
      </c>
      <c r="C88" t="s">
        <v>223</v>
      </c>
      <c r="F88" s="52" t="s">
        <v>2318</v>
      </c>
      <c r="Q88">
        <f>--ISNUMBER(SEARCH('RC Checklist'!$G$2,A88))</f>
        <v>0</v>
      </c>
      <c r="R88" t="str">
        <f>IF(Q88=1,COUNTIF($Q$2:$Q88,1),"")</f>
        <v/>
      </c>
      <c r="S88" t="str">
        <f>IFERROR(INDEX(ClientInfo[Full Name], MATCH(ROWS($R$2:$R88),ClientInfo[frequency], 0)),"")</f>
        <v/>
      </c>
    </row>
    <row r="89" spans="1:19">
      <c r="A89" t="str">
        <f>TRIM(CONCATENATE(ClientInfo[[#This Row],[First Name]], " ",ClientInfo[[#This Row],[Last Name]]))</f>
        <v>Bill Pearce</v>
      </c>
      <c r="B89" t="s">
        <v>131</v>
      </c>
      <c r="C89" t="s">
        <v>1121</v>
      </c>
      <c r="F89" s="52" t="s">
        <v>1122</v>
      </c>
      <c r="Q89">
        <f>--ISNUMBER(SEARCH('RC Checklist'!$G$2,A89))</f>
        <v>0</v>
      </c>
      <c r="R89" t="str">
        <f>IF(Q89=1,COUNTIF($Q$2:$Q89,1),"")</f>
        <v/>
      </c>
      <c r="S89" t="str">
        <f>IFERROR(INDEX(ClientInfo[Full Name], MATCH(ROWS($R$2:$R89),ClientInfo[frequency], 0)),"")</f>
        <v/>
      </c>
    </row>
    <row r="90" spans="1:19">
      <c r="A90" t="str">
        <f>TRIM(CONCATENATE(ClientInfo[[#This Row],[First Name]], " ",ClientInfo[[#This Row],[Last Name]]))</f>
        <v>Bill Prechio</v>
      </c>
      <c r="B90" t="s">
        <v>131</v>
      </c>
      <c r="C90" t="s">
        <v>1069</v>
      </c>
      <c r="Q90">
        <f>--ISNUMBER(SEARCH('RC Checklist'!$G$2,A90))</f>
        <v>0</v>
      </c>
      <c r="R90" t="str">
        <f>IF(Q90=1,COUNTIF($Q$2:$Q90,1),"")</f>
        <v/>
      </c>
      <c r="S90" t="str">
        <f>IFERROR(INDEX(ClientInfo[Full Name], MATCH(ROWS($R$2:$R90),ClientInfo[frequency], 0)),"")</f>
        <v/>
      </c>
    </row>
    <row r="91" spans="1:19">
      <c r="A91" t="str">
        <f>TRIM(CONCATENATE(ClientInfo[[#This Row],[First Name]], " ",ClientInfo[[#This Row],[Last Name]]))</f>
        <v>Bill Queael</v>
      </c>
      <c r="B91" t="s">
        <v>2793</v>
      </c>
      <c r="C91" t="s">
        <v>2794</v>
      </c>
      <c r="F91" s="52" t="s">
        <v>2795</v>
      </c>
      <c r="Q91">
        <f>--ISNUMBER(SEARCH('RC Checklist'!$G$2,A91))</f>
        <v>0</v>
      </c>
      <c r="R91" t="str">
        <f>IF(Q91=1,COUNTIF($Q$2:$Q91,1),"")</f>
        <v/>
      </c>
      <c r="S91" t="str">
        <f>IFERROR(INDEX(ClientInfo[Full Name], MATCH(ROWS($R$2:$R91),ClientInfo[frequency], 0)),"")</f>
        <v/>
      </c>
    </row>
    <row r="92" spans="1:19">
      <c r="A92" t="str">
        <f>TRIM(CONCATENATE(ClientInfo[[#This Row],[First Name]], " ",ClientInfo[[#This Row],[Last Name]]))</f>
        <v>Bill Riordan cell</v>
      </c>
      <c r="B92" t="s">
        <v>131</v>
      </c>
      <c r="C92" t="s">
        <v>2033</v>
      </c>
      <c r="D92" t="s">
        <v>2034</v>
      </c>
      <c r="F92" s="52">
        <v>4104595017</v>
      </c>
      <c r="Q92">
        <f>--ISNUMBER(SEARCH('RC Checklist'!$G$2,A92))</f>
        <v>0</v>
      </c>
      <c r="R92" t="str">
        <f>IF(Q92=1,COUNTIF($Q$2:$Q92,1),"")</f>
        <v/>
      </c>
      <c r="S92" t="str">
        <f>IFERROR(INDEX(ClientInfo[Full Name], MATCH(ROWS($R$2:$R92),ClientInfo[frequency], 0)),"")</f>
        <v/>
      </c>
    </row>
    <row r="93" spans="1:19">
      <c r="A93" t="str">
        <f>TRIM(CONCATENATE(ClientInfo[[#This Row],[First Name]], " ",ClientInfo[[#This Row],[Last Name]]))</f>
        <v>Bill russel</v>
      </c>
      <c r="B93" t="s">
        <v>131</v>
      </c>
      <c r="C93" t="s">
        <v>228</v>
      </c>
      <c r="F93" s="52">
        <v>4104043226</v>
      </c>
      <c r="H93" t="s">
        <v>229</v>
      </c>
      <c r="Q93">
        <f>--ISNUMBER(SEARCH('RC Checklist'!$G$2,A93))</f>
        <v>0</v>
      </c>
      <c r="R93" t="str">
        <f>IF(Q93=1,COUNTIF($Q$2:$Q93,1),"")</f>
        <v/>
      </c>
      <c r="S93" t="str">
        <f>IFERROR(INDEX(ClientInfo[Full Name], MATCH(ROWS($R$2:$R93),ClientInfo[frequency], 0)),"")</f>
        <v/>
      </c>
    </row>
    <row r="94" spans="1:19">
      <c r="A94" t="str">
        <f>TRIM(CONCATENATE(ClientInfo[[#This Row],[First Name]], " ",ClientInfo[[#This Row],[Last Name]]))</f>
        <v>Bill Spencer</v>
      </c>
      <c r="B94" t="s">
        <v>131</v>
      </c>
      <c r="C94" t="s">
        <v>2069</v>
      </c>
      <c r="D94" t="s">
        <v>2070</v>
      </c>
      <c r="F94" s="52" t="s">
        <v>2071</v>
      </c>
      <c r="Q94">
        <f>--ISNUMBER(SEARCH('RC Checklist'!$G$2,A94))</f>
        <v>0</v>
      </c>
      <c r="R94" t="str">
        <f>IF(Q94=1,COUNTIF($Q$2:$Q94,1),"")</f>
        <v/>
      </c>
      <c r="S94" t="str">
        <f>IFERROR(INDEX(ClientInfo[Full Name], MATCH(ROWS($R$2:$R94),ClientInfo[frequency], 0)),"")</f>
        <v/>
      </c>
    </row>
    <row r="95" spans="1:19">
      <c r="A95" t="str">
        <f>TRIM(CONCATENATE(ClientInfo[[#This Row],[First Name]], " ",ClientInfo[[#This Row],[Last Name]]))</f>
        <v>Blackburn</v>
      </c>
      <c r="B95" t="s">
        <v>2110</v>
      </c>
      <c r="D95" t="s">
        <v>2111</v>
      </c>
      <c r="F95" s="52" t="s">
        <v>2112</v>
      </c>
      <c r="Q95">
        <f>--ISNUMBER(SEARCH('RC Checklist'!$G$2,A95))</f>
        <v>0</v>
      </c>
      <c r="R95" t="str">
        <f>IF(Q95=1,COUNTIF($Q$2:$Q95,1),"")</f>
        <v/>
      </c>
      <c r="S95" t="str">
        <f>IFERROR(INDEX(ClientInfo[Full Name], MATCH(ROWS($R$2:$R95),ClientInfo[frequency], 0)),"")</f>
        <v/>
      </c>
    </row>
    <row r="96" spans="1:19">
      <c r="A96" t="str">
        <f>TRIM(CONCATENATE(ClientInfo[[#This Row],[First Name]], " ",ClientInfo[[#This Row],[Last Name]]))</f>
        <v>Blevins &amp; Son Septic</v>
      </c>
      <c r="B96" t="s">
        <v>2894</v>
      </c>
      <c r="D96" t="s">
        <v>2894</v>
      </c>
      <c r="F96" s="52" t="s">
        <v>2895</v>
      </c>
      <c r="Q96">
        <f>--ISNUMBER(SEARCH('RC Checklist'!$G$2,A96))</f>
        <v>0</v>
      </c>
      <c r="R96" t="str">
        <f>IF(Q96=1,COUNTIF($Q$2:$Q96,1),"")</f>
        <v/>
      </c>
      <c r="S96" t="str">
        <f>IFERROR(INDEX(ClientInfo[Full Name], MATCH(ROWS($R$2:$R96),ClientInfo[frequency], 0)),"")</f>
        <v/>
      </c>
    </row>
    <row r="97" spans="1:19">
      <c r="A97" t="str">
        <f>TRIM(CONCATENATE(ClientInfo[[#This Row],[First Name]], " ",ClientInfo[[#This Row],[Last Name]]))</f>
        <v>Blue Stone</v>
      </c>
      <c r="B97" t="s">
        <v>2788</v>
      </c>
      <c r="D97" t="s">
        <v>2788</v>
      </c>
      <c r="F97" s="52" t="s">
        <v>2789</v>
      </c>
      <c r="Q97">
        <f>--ISNUMBER(SEARCH('RC Checklist'!$G$2,A97))</f>
        <v>0</v>
      </c>
      <c r="R97" t="str">
        <f>IF(Q97=1,COUNTIF($Q$2:$Q97,1),"")</f>
        <v/>
      </c>
      <c r="S97" t="str">
        <f>IFERROR(INDEX(ClientInfo[Full Name], MATCH(ROWS($R$2:$R97),ClientInfo[frequency], 0)),"")</f>
        <v/>
      </c>
    </row>
    <row r="98" spans="1:19">
      <c r="A98" t="str">
        <f>TRIM(CONCATENATE(ClientInfo[[#This Row],[First Name]], " ",ClientInfo[[#This Row],[Last Name]]))</f>
        <v>Bmw Of Towson</v>
      </c>
      <c r="B98" t="s">
        <v>1597</v>
      </c>
      <c r="C98" t="s">
        <v>1598</v>
      </c>
      <c r="F98" s="52">
        <v>4102967908</v>
      </c>
      <c r="Q98">
        <f>--ISNUMBER(SEARCH('RC Checklist'!$G$2,A98))</f>
        <v>0</v>
      </c>
      <c r="R98" t="str">
        <f>IF(Q98=1,COUNTIF($Q$2:$Q98,1),"")</f>
        <v/>
      </c>
      <c r="S98" t="str">
        <f>IFERROR(INDEX(ClientInfo[Full Name], MATCH(ROWS($R$2:$R98),ClientInfo[frequency], 0)),"")</f>
        <v/>
      </c>
    </row>
    <row r="99" spans="1:19">
      <c r="A99" t="str">
        <f>TRIM(CONCATENATE(ClientInfo[[#This Row],[First Name]], " ",ClientInfo[[#This Row],[Last Name]]))</f>
        <v>Bob</v>
      </c>
      <c r="B99" t="s">
        <v>524</v>
      </c>
      <c r="P99" t="s">
        <v>1280</v>
      </c>
      <c r="Q99">
        <f>--ISNUMBER(SEARCH('RC Checklist'!$G$2,A99))</f>
        <v>0</v>
      </c>
      <c r="R99" t="str">
        <f>IF(Q99=1,COUNTIF($Q$2:$Q99,1),"")</f>
        <v/>
      </c>
      <c r="S99" t="str">
        <f>IFERROR(INDEX(ClientInfo[Full Name], MATCH(ROWS($R$2:$R99),ClientInfo[frequency], 0)),"")</f>
        <v/>
      </c>
    </row>
    <row r="100" spans="1:19">
      <c r="A100" t="str">
        <f>TRIM(CONCATENATE(ClientInfo[[#This Row],[First Name]], " ",ClientInfo[[#This Row],[Last Name]]))</f>
        <v>Bob Brown</v>
      </c>
      <c r="B100" t="s">
        <v>524</v>
      </c>
      <c r="C100" t="s">
        <v>1134</v>
      </c>
      <c r="F100" s="52" t="s">
        <v>1497</v>
      </c>
      <c r="Q100">
        <f>--ISNUMBER(SEARCH('RC Checklist'!$G$2,A100))</f>
        <v>0</v>
      </c>
      <c r="R100" t="str">
        <f>IF(Q100=1,COUNTIF($Q$2:$Q100,1),"")</f>
        <v/>
      </c>
      <c r="S100" t="str">
        <f>IFERROR(INDEX(ClientInfo[Full Name], MATCH(ROWS($R$2:$R100),ClientInfo[frequency], 0)),"")</f>
        <v/>
      </c>
    </row>
    <row r="101" spans="1:19">
      <c r="A101" t="str">
        <f>TRIM(CONCATENATE(ClientInfo[[#This Row],[First Name]], " ",ClientInfo[[#This Row],[Last Name]]))</f>
        <v>Bob Burchraum</v>
      </c>
      <c r="B101" t="s">
        <v>524</v>
      </c>
      <c r="C101" t="s">
        <v>802</v>
      </c>
      <c r="D101" t="s">
        <v>803</v>
      </c>
      <c r="Q101">
        <f>--ISNUMBER(SEARCH('RC Checklist'!$G$2,A101))</f>
        <v>0</v>
      </c>
      <c r="R101" t="str">
        <f>IF(Q101=1,COUNTIF($Q$2:$Q101,1),"")</f>
        <v/>
      </c>
      <c r="S101" t="str">
        <f>IFERROR(INDEX(ClientInfo[Full Name], MATCH(ROWS($R$2:$R101),ClientInfo[frequency], 0)),"")</f>
        <v/>
      </c>
    </row>
    <row r="102" spans="1:19">
      <c r="A102" t="str">
        <f>TRIM(CONCATENATE(ClientInfo[[#This Row],[First Name]], " ",ClientInfo[[#This Row],[Last Name]]))</f>
        <v>Bob Manankil</v>
      </c>
      <c r="B102" t="s">
        <v>524</v>
      </c>
      <c r="C102" t="s">
        <v>525</v>
      </c>
      <c r="Q102">
        <f>--ISNUMBER(SEARCH('RC Checklist'!$G$2,A102))</f>
        <v>0</v>
      </c>
      <c r="R102" t="str">
        <f>IF(Q102=1,COUNTIF($Q$2:$Q102,1),"")</f>
        <v/>
      </c>
      <c r="S102" t="str">
        <f>IFERROR(INDEX(ClientInfo[Full Name], MATCH(ROWS($R$2:$R102),ClientInfo[frequency], 0)),"")</f>
        <v/>
      </c>
    </row>
    <row r="103" spans="1:19">
      <c r="A103" t="str">
        <f>TRIM(CONCATENATE(ClientInfo[[#This Row],[First Name]], " ",ClientInfo[[#This Row],[Last Name]]))</f>
        <v>Bob Martin</v>
      </c>
      <c r="B103" t="s">
        <v>524</v>
      </c>
      <c r="C103" t="s">
        <v>712</v>
      </c>
      <c r="F103" s="52" t="s">
        <v>2751</v>
      </c>
      <c r="Q103">
        <f>--ISNUMBER(SEARCH('RC Checklist'!$G$2,A103))</f>
        <v>0</v>
      </c>
      <c r="R103" t="str">
        <f>IF(Q103=1,COUNTIF($Q$2:$Q103,1),"")</f>
        <v/>
      </c>
      <c r="S103" t="str">
        <f>IFERROR(INDEX(ClientInfo[Full Name], MATCH(ROWS($R$2:$R103),ClientInfo[frequency], 0)),"")</f>
        <v/>
      </c>
    </row>
    <row r="104" spans="1:19">
      <c r="A104" t="str">
        <f>TRIM(CONCATENATE(ClientInfo[[#This Row],[First Name]], " ",ClientInfo[[#This Row],[Last Name]]))</f>
        <v>Bob Mays</v>
      </c>
      <c r="B104" t="s">
        <v>524</v>
      </c>
      <c r="C104" t="s">
        <v>1747</v>
      </c>
      <c r="F104" s="52" t="s">
        <v>1748</v>
      </c>
      <c r="Q104">
        <f>--ISNUMBER(SEARCH('RC Checklist'!$G$2,A104))</f>
        <v>0</v>
      </c>
      <c r="R104" t="str">
        <f>IF(Q104=1,COUNTIF($Q$2:$Q104,1),"")</f>
        <v/>
      </c>
      <c r="S104" t="str">
        <f>IFERROR(INDEX(ClientInfo[Full Name], MATCH(ROWS($R$2:$R104),ClientInfo[frequency], 0)),"")</f>
        <v/>
      </c>
    </row>
    <row r="105" spans="1:19">
      <c r="A105" t="str">
        <f>TRIM(CONCATENATE(ClientInfo[[#This Row],[First Name]], " ",ClientInfo[[#This Row],[Last Name]]))</f>
        <v>Bob Reppe</v>
      </c>
      <c r="B105" t="s">
        <v>524</v>
      </c>
      <c r="C105" t="s">
        <v>1372</v>
      </c>
      <c r="F105" s="52" t="s">
        <v>1373</v>
      </c>
      <c r="H105" t="s">
        <v>1374</v>
      </c>
      <c r="Q105">
        <f>--ISNUMBER(SEARCH('RC Checklist'!$G$2,A105))</f>
        <v>0</v>
      </c>
      <c r="R105" t="str">
        <f>IF(Q105=1,COUNTIF($Q$2:$Q105,1),"")</f>
        <v/>
      </c>
      <c r="S105" t="str">
        <f>IFERROR(INDEX(ClientInfo[Full Name], MATCH(ROWS($R$2:$R105),ClientInfo[frequency], 0)),"")</f>
        <v/>
      </c>
    </row>
    <row r="106" spans="1:19">
      <c r="A106" t="str">
        <f>TRIM(CONCATENATE(ClientInfo[[#This Row],[First Name]], " ",ClientInfo[[#This Row],[Last Name]]))</f>
        <v>Bob Tyson</v>
      </c>
      <c r="B106" t="s">
        <v>524</v>
      </c>
      <c r="C106" t="s">
        <v>2575</v>
      </c>
      <c r="F106" s="52">
        <v>4108755428</v>
      </c>
      <c r="Q106">
        <f>--ISNUMBER(SEARCH('RC Checklist'!$G$2,A106))</f>
        <v>0</v>
      </c>
      <c r="R106" t="str">
        <f>IF(Q106=1,COUNTIF($Q$2:$Q106,1),"")</f>
        <v/>
      </c>
      <c r="S106" t="str">
        <f>IFERROR(INDEX(ClientInfo[Full Name], MATCH(ROWS($R$2:$R106),ClientInfo[frequency], 0)),"")</f>
        <v/>
      </c>
    </row>
    <row r="107" spans="1:19">
      <c r="A107" t="str">
        <f>TRIM(CONCATENATE(ClientInfo[[#This Row],[First Name]], " ",ClientInfo[[#This Row],[Last Name]]))</f>
        <v>Bob verdo</v>
      </c>
      <c r="B107" t="s">
        <v>524</v>
      </c>
      <c r="C107" t="s">
        <v>2063</v>
      </c>
      <c r="F107" s="52">
        <v>4435707018</v>
      </c>
      <c r="G107" s="52">
        <v>4103962164</v>
      </c>
      <c r="P107" t="s">
        <v>2064</v>
      </c>
      <c r="Q107">
        <f>--ISNUMBER(SEARCH('RC Checklist'!$G$2,A107))</f>
        <v>0</v>
      </c>
      <c r="R107" t="str">
        <f>IF(Q107=1,COUNTIF($Q$2:$Q107,1),"")</f>
        <v/>
      </c>
      <c r="S107" t="str">
        <f>IFERROR(INDEX(ClientInfo[Full Name], MATCH(ROWS($R$2:$R107),ClientInfo[frequency], 0)),"")</f>
        <v/>
      </c>
    </row>
    <row r="108" spans="1:19">
      <c r="A108" t="str">
        <f>TRIM(CONCATENATE(ClientInfo[[#This Row],[First Name]], " ",ClientInfo[[#This Row],[Last Name]]))</f>
        <v>Bob Wilson</v>
      </c>
      <c r="B108" t="s">
        <v>524</v>
      </c>
      <c r="C108" t="s">
        <v>1275</v>
      </c>
      <c r="D108" t="s">
        <v>1276</v>
      </c>
      <c r="F108" s="52">
        <v>4108084635</v>
      </c>
      <c r="G108" s="52">
        <v>4108933700</v>
      </c>
      <c r="Q108">
        <f>--ISNUMBER(SEARCH('RC Checklist'!$G$2,A108))</f>
        <v>0</v>
      </c>
      <c r="R108" t="str">
        <f>IF(Q108=1,COUNTIF($Q$2:$Q108,1),"")</f>
        <v/>
      </c>
      <c r="S108" t="str">
        <f>IFERROR(INDEX(ClientInfo[Full Name], MATCH(ROWS($R$2:$R108),ClientInfo[frequency], 0)),"")</f>
        <v/>
      </c>
    </row>
    <row r="109" spans="1:19">
      <c r="A109" t="str">
        <f>TRIM(CONCATENATE(ClientInfo[[#This Row],[First Name]], " ",ClientInfo[[#This Row],[Last Name]]))</f>
        <v>Bobbie Knickman</v>
      </c>
      <c r="B109" t="s">
        <v>900</v>
      </c>
      <c r="C109" t="s">
        <v>901</v>
      </c>
      <c r="F109" s="52" t="s">
        <v>902</v>
      </c>
      <c r="Q109">
        <f>--ISNUMBER(SEARCH('RC Checklist'!$G$2,A109))</f>
        <v>0</v>
      </c>
      <c r="R109" t="str">
        <f>IF(Q109=1,COUNTIF($Q$2:$Q109,1),"")</f>
        <v/>
      </c>
      <c r="S109" t="str">
        <f>IFERROR(INDEX(ClientInfo[Full Name], MATCH(ROWS($R$2:$R109),ClientInfo[frequency], 0)),"")</f>
        <v/>
      </c>
    </row>
    <row r="110" spans="1:19">
      <c r="A110" t="str">
        <f>TRIM(CONCATENATE(ClientInfo[[#This Row],[First Name]], " ",ClientInfo[[#This Row],[Last Name]]))</f>
        <v>Bobby</v>
      </c>
      <c r="B110" t="s">
        <v>696</v>
      </c>
      <c r="D110" t="s">
        <v>697</v>
      </c>
      <c r="F110" s="52" t="s">
        <v>698</v>
      </c>
      <c r="H110" t="s">
        <v>699</v>
      </c>
      <c r="Q110">
        <f>--ISNUMBER(SEARCH('RC Checklist'!$G$2,A110))</f>
        <v>0</v>
      </c>
      <c r="R110" t="str">
        <f>IF(Q110=1,COUNTIF($Q$2:$Q110,1),"")</f>
        <v/>
      </c>
      <c r="S110" t="str">
        <f>IFERROR(INDEX(ClientInfo[Full Name], MATCH(ROWS($R$2:$R110),ClientInfo[frequency], 0)),"")</f>
        <v/>
      </c>
    </row>
    <row r="111" spans="1:19">
      <c r="A111" t="str">
        <f>TRIM(CONCATENATE(ClientInfo[[#This Row],[First Name]], " ",ClientInfo[[#This Row],[Last Name]]))</f>
        <v>Bobby Babcock</v>
      </c>
      <c r="B111" t="s">
        <v>696</v>
      </c>
      <c r="C111" t="s">
        <v>1132</v>
      </c>
      <c r="F111" s="52" t="s">
        <v>1133</v>
      </c>
      <c r="Q111">
        <f>--ISNUMBER(SEARCH('RC Checklist'!$G$2,A111))</f>
        <v>0</v>
      </c>
      <c r="R111" t="str">
        <f>IF(Q111=1,COUNTIF($Q$2:$Q111,1),"")</f>
        <v/>
      </c>
      <c r="S111" t="str">
        <f>IFERROR(INDEX(ClientInfo[Full Name], MATCH(ROWS($R$2:$R111),ClientInfo[frequency], 0)),"")</f>
        <v/>
      </c>
    </row>
    <row r="112" spans="1:19">
      <c r="A112" t="str">
        <f>TRIM(CONCATENATE(ClientInfo[[#This Row],[First Name]], " ",ClientInfo[[#This Row],[Last Name]]))</f>
        <v>Bobby Fulwood</v>
      </c>
      <c r="B112" t="s">
        <v>696</v>
      </c>
      <c r="C112" t="s">
        <v>2431</v>
      </c>
      <c r="F112" s="52" t="s">
        <v>2432</v>
      </c>
      <c r="Q112">
        <f>--ISNUMBER(SEARCH('RC Checklist'!$G$2,A112))</f>
        <v>0</v>
      </c>
      <c r="R112" t="str">
        <f>IF(Q112=1,COUNTIF($Q$2:$Q112,1),"")</f>
        <v/>
      </c>
      <c r="S112" t="str">
        <f>IFERROR(INDEX(ClientInfo[Full Name], MATCH(ROWS($R$2:$R112),ClientInfo[frequency], 0)),"")</f>
        <v/>
      </c>
    </row>
    <row r="113" spans="1:19">
      <c r="A113" t="str">
        <f>TRIM(CONCATENATE(ClientInfo[[#This Row],[First Name]], " ",ClientInfo[[#This Row],[Last Name]]))</f>
        <v>Bobby Schrecengost</v>
      </c>
      <c r="B113" t="s">
        <v>696</v>
      </c>
      <c r="C113" t="s">
        <v>2893</v>
      </c>
      <c r="F113" s="52">
        <v>4432435863</v>
      </c>
      <c r="Q113">
        <f>--ISNUMBER(SEARCH('RC Checklist'!$G$2,A113))</f>
        <v>0</v>
      </c>
      <c r="R113" t="str">
        <f>IF(Q113=1,COUNTIF($Q$2:$Q113,1),"")</f>
        <v/>
      </c>
      <c r="S113" t="str">
        <f>IFERROR(INDEX(ClientInfo[Full Name], MATCH(ROWS($R$2:$R113),ClientInfo[frequency], 0)),"")</f>
        <v/>
      </c>
    </row>
    <row r="114" spans="1:19">
      <c r="A114" t="str">
        <f>TRIM(CONCATENATE(ClientInfo[[#This Row],[First Name]], " ",ClientInfo[[#This Row],[Last Name]]))</f>
        <v>Bobbye Helfand</v>
      </c>
      <c r="B114" t="s">
        <v>2609</v>
      </c>
      <c r="C114" t="s">
        <v>2610</v>
      </c>
      <c r="F114" s="52" t="s">
        <v>2611</v>
      </c>
      <c r="H114" t="s">
        <v>2612</v>
      </c>
      <c r="O114" t="s">
        <v>2613</v>
      </c>
      <c r="Q114">
        <f>--ISNUMBER(SEARCH('RC Checklist'!$G$2,A114))</f>
        <v>0</v>
      </c>
      <c r="R114" t="str">
        <f>IF(Q114=1,COUNTIF($Q$2:$Q114,1),"")</f>
        <v/>
      </c>
      <c r="S114" t="str">
        <f>IFERROR(INDEX(ClientInfo[Full Name], MATCH(ROWS($R$2:$R114),ClientInfo[frequency], 0)),"")</f>
        <v/>
      </c>
    </row>
    <row r="115" spans="1:19">
      <c r="A115" t="str">
        <f>TRIM(CONCATENATE(ClientInfo[[#This Row],[First Name]], " ",ClientInfo[[#This Row],[Last Name]]))</f>
        <v>Bobcat Of Baltimore</v>
      </c>
      <c r="B115" t="s">
        <v>643</v>
      </c>
      <c r="D115" t="s">
        <v>643</v>
      </c>
      <c r="F115" s="52" t="s">
        <v>644</v>
      </c>
      <c r="Q115">
        <f>--ISNUMBER(SEARCH('RC Checklist'!$G$2,A115))</f>
        <v>0</v>
      </c>
      <c r="R115" t="str">
        <f>IF(Q115=1,COUNTIF($Q$2:$Q115,1),"")</f>
        <v/>
      </c>
      <c r="S115" t="str">
        <f>IFERROR(INDEX(ClientInfo[Full Name], MATCH(ROWS($R$2:$R115),ClientInfo[frequency], 0)),"")</f>
        <v/>
      </c>
    </row>
    <row r="116" spans="1:19">
      <c r="A116" t="str">
        <f>TRIM(CONCATENATE(ClientInfo[[#This Row],[First Name]], " ",ClientInfo[[#This Row],[Last Name]]))</f>
        <v>Bonnie</v>
      </c>
      <c r="B116" t="s">
        <v>2049</v>
      </c>
      <c r="F116" s="52" t="s">
        <v>2050</v>
      </c>
      <c r="G116" s="52" t="s">
        <v>2051</v>
      </c>
      <c r="Q116">
        <f>--ISNUMBER(SEARCH('RC Checklist'!$G$2,A116))</f>
        <v>0</v>
      </c>
      <c r="R116" t="str">
        <f>IF(Q116=1,COUNTIF($Q$2:$Q116,1),"")</f>
        <v/>
      </c>
      <c r="S116" t="str">
        <f>IFERROR(INDEX(ClientInfo[Full Name], MATCH(ROWS($R$2:$R116),ClientInfo[frequency], 0)),"")</f>
        <v/>
      </c>
    </row>
    <row r="117" spans="1:19">
      <c r="A117" t="str">
        <f>TRIM(CONCATENATE(ClientInfo[[#This Row],[First Name]], " ",ClientInfo[[#This Row],[Last Name]]))</f>
        <v>Bosley Moulding</v>
      </c>
      <c r="B117" t="s">
        <v>2660</v>
      </c>
      <c r="D117" t="s">
        <v>2661</v>
      </c>
      <c r="F117" s="52" t="s">
        <v>2662</v>
      </c>
      <c r="H117" t="s">
        <v>2663</v>
      </c>
      <c r="O117" t="s">
        <v>2664</v>
      </c>
      <c r="Q117">
        <f>--ISNUMBER(SEARCH('RC Checklist'!$G$2,A117))</f>
        <v>0</v>
      </c>
      <c r="R117" t="str">
        <f>IF(Q117=1,COUNTIF($Q$2:$Q117,1),"")</f>
        <v/>
      </c>
      <c r="S117" t="str">
        <f>IFERROR(INDEX(ClientInfo[Full Name], MATCH(ROWS($R$2:$R117),ClientInfo[frequency], 0)),"")</f>
        <v/>
      </c>
    </row>
    <row r="118" spans="1:19">
      <c r="A118" t="str">
        <f>TRIM(CONCATENATE(ClientInfo[[#This Row],[First Name]], " ",ClientInfo[[#This Row],[Last Name]]))</f>
        <v>Brad Dudley</v>
      </c>
      <c r="B118" t="s">
        <v>2303</v>
      </c>
      <c r="C118" t="s">
        <v>2304</v>
      </c>
      <c r="F118" s="52">
        <v>4432558095</v>
      </c>
      <c r="Q118">
        <f>--ISNUMBER(SEARCH('RC Checklist'!$G$2,A118))</f>
        <v>0</v>
      </c>
      <c r="R118" t="str">
        <f>IF(Q118=1,COUNTIF($Q$2:$Q118,1),"")</f>
        <v/>
      </c>
      <c r="S118" t="str">
        <f>IFERROR(INDEX(ClientInfo[Full Name], MATCH(ROWS($R$2:$R118),ClientInfo[frequency], 0)),"")</f>
        <v/>
      </c>
    </row>
    <row r="119" spans="1:19">
      <c r="A119" t="str">
        <f>TRIM(CONCATENATE(ClientInfo[[#This Row],[First Name]], " ",ClientInfo[[#This Row],[Last Name]]))</f>
        <v>Brenda Ripple</v>
      </c>
      <c r="B119" t="s">
        <v>1905</v>
      </c>
      <c r="C119" t="s">
        <v>309</v>
      </c>
      <c r="F119" s="52" t="s">
        <v>1906</v>
      </c>
      <c r="H119" t="s">
        <v>1907</v>
      </c>
      <c r="Q119">
        <f>--ISNUMBER(SEARCH('RC Checklist'!$G$2,A119))</f>
        <v>0</v>
      </c>
      <c r="R119" t="str">
        <f>IF(Q119=1,COUNTIF($Q$2:$Q119,1),"")</f>
        <v/>
      </c>
      <c r="S119" t="str">
        <f>IFERROR(INDEX(ClientInfo[Full Name], MATCH(ROWS($R$2:$R119),ClientInfo[frequency], 0)),"")</f>
        <v/>
      </c>
    </row>
    <row r="120" spans="1:19">
      <c r="A120" t="str">
        <f>TRIM(CONCATENATE(ClientInfo[[#This Row],[First Name]], " ",ClientInfo[[#This Row],[Last Name]]))</f>
        <v>Brent</v>
      </c>
      <c r="B120" t="s">
        <v>2910</v>
      </c>
      <c r="F120" s="52">
        <v>14439747069</v>
      </c>
      <c r="Q120">
        <f>--ISNUMBER(SEARCH('RC Checklist'!$G$2,A120))</f>
        <v>0</v>
      </c>
      <c r="R120" t="str">
        <f>IF(Q120=1,COUNTIF($Q$2:$Q120,1),"")</f>
        <v/>
      </c>
      <c r="S120" t="str">
        <f>IFERROR(INDEX(ClientInfo[Full Name], MATCH(ROWS($R$2:$R120),ClientInfo[frequency], 0)),"")</f>
        <v/>
      </c>
    </row>
    <row r="121" spans="1:19">
      <c r="A121" t="str">
        <f>TRIM(CONCATENATE(ClientInfo[[#This Row],[First Name]], " ",ClientInfo[[#This Row],[Last Name]]))</f>
        <v>Bretheren Mutual Ins.</v>
      </c>
      <c r="B121" t="s">
        <v>1038</v>
      </c>
      <c r="D121" t="s">
        <v>1038</v>
      </c>
      <c r="F121" s="52" t="s">
        <v>1039</v>
      </c>
      <c r="Q121">
        <f>--ISNUMBER(SEARCH('RC Checklist'!$G$2,A121))</f>
        <v>0</v>
      </c>
      <c r="R121" t="str">
        <f>IF(Q121=1,COUNTIF($Q$2:$Q121,1),"")</f>
        <v/>
      </c>
      <c r="S121" t="str">
        <f>IFERROR(INDEX(ClientInfo[Full Name], MATCH(ROWS($R$2:$R121),ClientInfo[frequency], 0)),"")</f>
        <v/>
      </c>
    </row>
    <row r="122" spans="1:19">
      <c r="A122" t="str">
        <f>TRIM(CONCATENATE(ClientInfo[[#This Row],[First Name]], " ",ClientInfo[[#This Row],[Last Name]]))</f>
        <v>Brett &amp; Denise Moritz</v>
      </c>
      <c r="B122" t="s">
        <v>1522</v>
      </c>
      <c r="C122" t="s">
        <v>1523</v>
      </c>
      <c r="H122" t="s">
        <v>1524</v>
      </c>
      <c r="O122" t="s">
        <v>1525</v>
      </c>
      <c r="Q122">
        <f>--ISNUMBER(SEARCH('RC Checklist'!$G$2,A122))</f>
        <v>0</v>
      </c>
      <c r="R122" t="str">
        <f>IF(Q122=1,COUNTIF($Q$2:$Q122,1),"")</f>
        <v/>
      </c>
      <c r="S122" t="str">
        <f>IFERROR(INDEX(ClientInfo[Full Name], MATCH(ROWS($R$2:$R122),ClientInfo[frequency], 0)),"")</f>
        <v/>
      </c>
    </row>
    <row r="123" spans="1:19">
      <c r="A123" t="str">
        <f>TRIM(CONCATENATE(ClientInfo[[#This Row],[First Name]], " ",ClientInfo[[#This Row],[Last Name]]))</f>
        <v>Brian</v>
      </c>
      <c r="B123" t="s">
        <v>33</v>
      </c>
      <c r="F123" s="52">
        <v>4438316088</v>
      </c>
      <c r="Q123">
        <f>--ISNUMBER(SEARCH('RC Checklist'!$G$2,A123))</f>
        <v>0</v>
      </c>
      <c r="R123" t="str">
        <f>IF(Q123=1,COUNTIF($Q$2:$Q123,1),"")</f>
        <v/>
      </c>
      <c r="S123" t="str">
        <f>IFERROR(INDEX(ClientInfo[Full Name], MATCH(ROWS($R$2:$R123),ClientInfo[frequency], 0)),"")</f>
        <v/>
      </c>
    </row>
    <row r="124" spans="1:19">
      <c r="A124" t="str">
        <f>TRIM(CONCATENATE(ClientInfo[[#This Row],[First Name]], " ",ClientInfo[[#This Row],[Last Name]]))</f>
        <v>Brian 2047</v>
      </c>
      <c r="B124" t="s">
        <v>649</v>
      </c>
      <c r="D124" t="s">
        <v>650</v>
      </c>
      <c r="F124" s="52" t="s">
        <v>651</v>
      </c>
      <c r="Q124">
        <f>--ISNUMBER(SEARCH('RC Checklist'!$G$2,A124))</f>
        <v>0</v>
      </c>
      <c r="R124" t="str">
        <f>IF(Q124=1,COUNTIF($Q$2:$Q124,1),"")</f>
        <v/>
      </c>
      <c r="S124" t="str">
        <f>IFERROR(INDEX(ClientInfo[Full Name], MATCH(ROWS($R$2:$R124),ClientInfo[frequency], 0)),"")</f>
        <v/>
      </c>
    </row>
    <row r="125" spans="1:19">
      <c r="A125" t="str">
        <f>TRIM(CONCATENATE(ClientInfo[[#This Row],[First Name]], " ",ClientInfo[[#This Row],[Last Name]]))</f>
        <v>Brian Friedman</v>
      </c>
      <c r="B125" t="s">
        <v>33</v>
      </c>
      <c r="C125" t="s">
        <v>1627</v>
      </c>
      <c r="D125" t="s">
        <v>1628</v>
      </c>
      <c r="E125" t="s">
        <v>1629</v>
      </c>
      <c r="F125" s="52">
        <v>2672103139</v>
      </c>
      <c r="G125" s="52">
        <v>4107163716</v>
      </c>
      <c r="H125" t="s">
        <v>1630</v>
      </c>
      <c r="O125" t="s">
        <v>1631</v>
      </c>
      <c r="Q125">
        <f>--ISNUMBER(SEARCH('RC Checklist'!$G$2,A125))</f>
        <v>0</v>
      </c>
      <c r="R125" t="str">
        <f>IF(Q125=1,COUNTIF($Q$2:$Q125,1),"")</f>
        <v/>
      </c>
      <c r="S125" t="str">
        <f>IFERROR(INDEX(ClientInfo[Full Name], MATCH(ROWS($R$2:$R125),ClientInfo[frequency], 0)),"")</f>
        <v/>
      </c>
    </row>
    <row r="126" spans="1:19">
      <c r="A126" t="str">
        <f>TRIM(CONCATENATE(ClientInfo[[#This Row],[First Name]], " ",ClientInfo[[#This Row],[Last Name]]))</f>
        <v>BRIAN Neff's</v>
      </c>
      <c r="B126" t="s">
        <v>962</v>
      </c>
      <c r="C126" t="s">
        <v>963</v>
      </c>
      <c r="D126" t="s">
        <v>964</v>
      </c>
      <c r="E126" t="s">
        <v>965</v>
      </c>
      <c r="F126" s="52" t="s">
        <v>966</v>
      </c>
      <c r="G126" s="53" t="s">
        <v>967</v>
      </c>
      <c r="O126" t="s">
        <v>968</v>
      </c>
      <c r="Q126">
        <f>--ISNUMBER(SEARCH('RC Checklist'!$G$2,A126))</f>
        <v>0</v>
      </c>
      <c r="R126" t="str">
        <f>IF(Q126=1,COUNTIF($Q$2:$Q126,1),"")</f>
        <v/>
      </c>
      <c r="S126" t="str">
        <f>IFERROR(INDEX(ClientInfo[Full Name], MATCH(ROWS($R$2:$R126),ClientInfo[frequency], 0)),"")</f>
        <v/>
      </c>
    </row>
    <row r="127" spans="1:19">
      <c r="A127" t="str">
        <f>TRIM(CONCATENATE(ClientInfo[[#This Row],[First Name]], " ",ClientInfo[[#This Row],[Last Name]]))</f>
        <v>Brian Persel</v>
      </c>
      <c r="B127" t="s">
        <v>33</v>
      </c>
      <c r="C127" t="s">
        <v>1316</v>
      </c>
      <c r="F127" s="52">
        <v>4103211275</v>
      </c>
      <c r="P127" t="s">
        <v>1317</v>
      </c>
      <c r="Q127">
        <f>--ISNUMBER(SEARCH('RC Checklist'!$G$2,A127))</f>
        <v>0</v>
      </c>
      <c r="R127" t="str">
        <f>IF(Q127=1,COUNTIF($Q$2:$Q127,1),"")</f>
        <v/>
      </c>
      <c r="S127" t="str">
        <f>IFERROR(INDEX(ClientInfo[Full Name], MATCH(ROWS($R$2:$R127),ClientInfo[frequency], 0)),"")</f>
        <v/>
      </c>
    </row>
    <row r="128" spans="1:19">
      <c r="A128" t="str">
        <f>TRIM(CONCATENATE(ClientInfo[[#This Row],[First Name]], " ",ClientInfo[[#This Row],[Last Name]]))</f>
        <v>Brian Seymore</v>
      </c>
      <c r="B128" t="s">
        <v>33</v>
      </c>
      <c r="C128" t="s">
        <v>1383</v>
      </c>
      <c r="F128" s="52" t="s">
        <v>1384</v>
      </c>
      <c r="Q128">
        <f>--ISNUMBER(SEARCH('RC Checklist'!$G$2,A128))</f>
        <v>0</v>
      </c>
      <c r="R128" t="str">
        <f>IF(Q128=1,COUNTIF($Q$2:$Q128,1),"")</f>
        <v/>
      </c>
      <c r="S128" t="str">
        <f>IFERROR(INDEX(ClientInfo[Full Name], MATCH(ROWS($R$2:$R128),ClientInfo[frequency], 0)),"")</f>
        <v/>
      </c>
    </row>
    <row r="129" spans="1:19">
      <c r="A129" t="str">
        <f>TRIM(CONCATENATE(ClientInfo[[#This Row],[First Name]], " ",ClientInfo[[#This Row],[Last Name]]))</f>
        <v>Brian Susnowitz</v>
      </c>
      <c r="B129" t="s">
        <v>33</v>
      </c>
      <c r="C129" t="s">
        <v>1516</v>
      </c>
      <c r="D129" t="s">
        <v>1492</v>
      </c>
      <c r="Q129">
        <f>--ISNUMBER(SEARCH('RC Checklist'!$G$2,A129))</f>
        <v>0</v>
      </c>
      <c r="R129" t="str">
        <f>IF(Q129=1,COUNTIF($Q$2:$Q129,1),"")</f>
        <v/>
      </c>
      <c r="S129" t="str">
        <f>IFERROR(INDEX(ClientInfo[Full Name], MATCH(ROWS($R$2:$R129),ClientInfo[frequency], 0)),"")</f>
        <v/>
      </c>
    </row>
    <row r="130" spans="1:19">
      <c r="A130" t="str">
        <f>TRIM(CONCATENATE(ClientInfo[[#This Row],[First Name]], " ",ClientInfo[[#This Row],[Last Name]]))</f>
        <v>Brian Syreika</v>
      </c>
      <c r="B130" t="s">
        <v>33</v>
      </c>
      <c r="C130" t="s">
        <v>1714</v>
      </c>
      <c r="E130" t="s">
        <v>1715</v>
      </c>
      <c r="F130" s="52">
        <v>4105602499</v>
      </c>
      <c r="H130" t="s">
        <v>1716</v>
      </c>
      <c r="O130" t="s">
        <v>1717</v>
      </c>
      <c r="Q130">
        <f>--ISNUMBER(SEARCH('RC Checklist'!$G$2,A130))</f>
        <v>0</v>
      </c>
      <c r="R130" t="str">
        <f>IF(Q130=1,COUNTIF($Q$2:$Q130,1),"")</f>
        <v/>
      </c>
      <c r="S130" t="str">
        <f>IFERROR(INDEX(ClientInfo[Full Name], MATCH(ROWS($R$2:$R130),ClientInfo[frequency], 0)),"")</f>
        <v/>
      </c>
    </row>
    <row r="131" spans="1:19">
      <c r="A131" t="str">
        <f>TRIM(CONCATENATE(ClientInfo[[#This Row],[First Name]], " ",ClientInfo[[#This Row],[Last Name]]))</f>
        <v>Brittney Rhonda</v>
      </c>
      <c r="B131" t="s">
        <v>19</v>
      </c>
      <c r="C131" t="s">
        <v>20</v>
      </c>
      <c r="D131" t="s">
        <v>21</v>
      </c>
      <c r="F131" s="52" t="s">
        <v>22</v>
      </c>
      <c r="G131" s="52" t="s">
        <v>23</v>
      </c>
      <c r="Q131">
        <f>--ISNUMBER(SEARCH('RC Checklist'!$G$2,A131))</f>
        <v>0</v>
      </c>
      <c r="R131" t="str">
        <f>IF(Q131=1,COUNTIF($Q$2:$Q131,1),"")</f>
        <v/>
      </c>
      <c r="S131" t="str">
        <f>IFERROR(INDEX(ClientInfo[Full Name], MATCH(ROWS($R$2:$R131),ClientInfo[frequency], 0)),"")</f>
        <v/>
      </c>
    </row>
    <row r="132" spans="1:19">
      <c r="A132" t="str">
        <f>TRIM(CONCATENATE(ClientInfo[[#This Row],[First Name]], " ",ClientInfo[[#This Row],[Last Name]]))</f>
        <v>Bruce</v>
      </c>
      <c r="B132" t="s">
        <v>708</v>
      </c>
      <c r="F132" s="52">
        <v>4432803298</v>
      </c>
      <c r="G132" s="52">
        <v>4105998384</v>
      </c>
      <c r="Q132">
        <f>--ISNUMBER(SEARCH('RC Checklist'!$G$2,A132))</f>
        <v>0</v>
      </c>
      <c r="R132" t="str">
        <f>IF(Q132=1,COUNTIF($Q$2:$Q132,1),"")</f>
        <v/>
      </c>
      <c r="S132" t="str">
        <f>IFERROR(INDEX(ClientInfo[Full Name], MATCH(ROWS($R$2:$R132),ClientInfo[frequency], 0)),"")</f>
        <v/>
      </c>
    </row>
    <row r="133" spans="1:19">
      <c r="A133" t="str">
        <f>TRIM(CONCATENATE(ClientInfo[[#This Row],[First Name]], " ",ClientInfo[[#This Row],[Last Name]]))</f>
        <v>Bruce reese</v>
      </c>
      <c r="B133" t="s">
        <v>708</v>
      </c>
      <c r="C133" t="s">
        <v>927</v>
      </c>
      <c r="F133" s="52">
        <v>4104561060</v>
      </c>
      <c r="Q133">
        <f>--ISNUMBER(SEARCH('RC Checklist'!$G$2,A133))</f>
        <v>0</v>
      </c>
      <c r="R133" t="str">
        <f>IF(Q133=1,COUNTIF($Q$2:$Q133,1),"")</f>
        <v/>
      </c>
      <c r="S133" t="str">
        <f>IFERROR(INDEX(ClientInfo[Full Name], MATCH(ROWS($R$2:$R133),ClientInfo[frequency], 0)),"")</f>
        <v/>
      </c>
    </row>
    <row r="134" spans="1:19">
      <c r="A134" t="str">
        <f>TRIM(CONCATENATE(ClientInfo[[#This Row],[First Name]], " ",ClientInfo[[#This Row],[Last Name]]))</f>
        <v>Bryan</v>
      </c>
      <c r="B134" t="s">
        <v>376</v>
      </c>
      <c r="D134" t="s">
        <v>2183</v>
      </c>
      <c r="F134" s="52">
        <v>4109776942</v>
      </c>
      <c r="Q134">
        <f>--ISNUMBER(SEARCH('RC Checklist'!$G$2,A134))</f>
        <v>0</v>
      </c>
      <c r="R134" t="str">
        <f>IF(Q134=1,COUNTIF($Q$2:$Q134,1),"")</f>
        <v/>
      </c>
      <c r="S134" t="str">
        <f>IFERROR(INDEX(ClientInfo[Full Name], MATCH(ROWS($R$2:$R134),ClientInfo[frequency], 0)),"")</f>
        <v/>
      </c>
    </row>
    <row r="135" spans="1:19">
      <c r="A135" t="str">
        <f>TRIM(CONCATENATE(ClientInfo[[#This Row],[First Name]], " ",ClientInfo[[#This Row],[Last Name]]))</f>
        <v>Bryan beyrodt</v>
      </c>
      <c r="B135" t="s">
        <v>376</v>
      </c>
      <c r="C135" t="s">
        <v>377</v>
      </c>
      <c r="F135" s="52">
        <v>4103570627</v>
      </c>
      <c r="H135" t="s">
        <v>378</v>
      </c>
      <c r="Q135">
        <f>--ISNUMBER(SEARCH('RC Checklist'!$G$2,A135))</f>
        <v>0</v>
      </c>
      <c r="R135" t="str">
        <f>IF(Q135=1,COUNTIF($Q$2:$Q135,1),"")</f>
        <v/>
      </c>
      <c r="S135" t="str">
        <f>IFERROR(INDEX(ClientInfo[Full Name], MATCH(ROWS($R$2:$R135),ClientInfo[frequency], 0)),"")</f>
        <v/>
      </c>
    </row>
    <row r="136" spans="1:19">
      <c r="A136" t="str">
        <f>TRIM(CONCATENATE(ClientInfo[[#This Row],[First Name]], " ",ClientInfo[[#This Row],[Last Name]]))</f>
        <v>Bryan foster</v>
      </c>
      <c r="B136" t="s">
        <v>376</v>
      </c>
      <c r="C136" t="s">
        <v>1908</v>
      </c>
      <c r="F136" s="52">
        <v>4432501600</v>
      </c>
      <c r="Q136">
        <f>--ISNUMBER(SEARCH('RC Checklist'!$G$2,A136))</f>
        <v>0</v>
      </c>
      <c r="R136" t="str">
        <f>IF(Q136=1,COUNTIF($Q$2:$Q136,1),"")</f>
        <v/>
      </c>
      <c r="S136" t="str">
        <f>IFERROR(INDEX(ClientInfo[Full Name], MATCH(ROWS($R$2:$R136),ClientInfo[frequency], 0)),"")</f>
        <v/>
      </c>
    </row>
    <row r="137" spans="1:19">
      <c r="A137" t="str">
        <f>TRIM(CONCATENATE(ClientInfo[[#This Row],[First Name]], " ",ClientInfo[[#This Row],[Last Name]]))</f>
        <v>Bryan Harrison</v>
      </c>
      <c r="B137" t="s">
        <v>376</v>
      </c>
      <c r="C137" t="s">
        <v>389</v>
      </c>
      <c r="F137" s="52" t="s">
        <v>390</v>
      </c>
      <c r="G137" s="52">
        <v>4103479988</v>
      </c>
      <c r="H137" t="s">
        <v>391</v>
      </c>
      <c r="Q137">
        <f>--ISNUMBER(SEARCH('RC Checklist'!$G$2,A137))</f>
        <v>0</v>
      </c>
      <c r="R137" t="str">
        <f>IF(Q137=1,COUNTIF($Q$2:$Q137,1),"")</f>
        <v/>
      </c>
      <c r="S137" t="str">
        <f>IFERROR(INDEX(ClientInfo[Full Name], MATCH(ROWS($R$2:$R137),ClientInfo[frequency], 0)),"")</f>
        <v/>
      </c>
    </row>
    <row r="138" spans="1:19">
      <c r="A138" t="str">
        <f>TRIM(CONCATENATE(ClientInfo[[#This Row],[First Name]], " ",ClientInfo[[#This Row],[Last Name]]))</f>
        <v>Bryan raver</v>
      </c>
      <c r="B138" t="s">
        <v>376</v>
      </c>
      <c r="C138" t="s">
        <v>2792</v>
      </c>
      <c r="F138" s="52">
        <v>4105965311</v>
      </c>
      <c r="Q138">
        <f>--ISNUMBER(SEARCH('RC Checklist'!$G$2,A138))</f>
        <v>0</v>
      </c>
      <c r="R138" t="str">
        <f>IF(Q138=1,COUNTIF($Q$2:$Q138,1),"")</f>
        <v/>
      </c>
      <c r="S138" t="str">
        <f>IFERROR(INDEX(ClientInfo[Full Name], MATCH(ROWS($R$2:$R138),ClientInfo[frequency], 0)),"")</f>
        <v/>
      </c>
    </row>
    <row r="139" spans="1:19">
      <c r="A139" t="str">
        <f>TRIM(CONCATENATE(ClientInfo[[#This Row],[First Name]], " ",ClientInfo[[#This Row],[Last Name]]))</f>
        <v>Bryant Lewis</v>
      </c>
      <c r="B139" t="s">
        <v>1412</v>
      </c>
      <c r="C139" t="s">
        <v>513</v>
      </c>
      <c r="F139" s="52" t="s">
        <v>1413</v>
      </c>
      <c r="Q139">
        <f>--ISNUMBER(SEARCH('RC Checklist'!$G$2,A139))</f>
        <v>0</v>
      </c>
      <c r="R139" t="str">
        <f>IF(Q139=1,COUNTIF($Q$2:$Q139,1),"")</f>
        <v/>
      </c>
      <c r="S139" t="str">
        <f>IFERROR(INDEX(ClientInfo[Full Name], MATCH(ROWS($R$2:$R139),ClientInfo[frequency], 0)),"")</f>
        <v/>
      </c>
    </row>
    <row r="140" spans="1:19">
      <c r="A140" t="str">
        <f>TRIM(CONCATENATE(ClientInfo[[#This Row],[First Name]], " ",ClientInfo[[#This Row],[Last Name]]))</f>
        <v>Bryon Berrier</v>
      </c>
      <c r="B140" t="s">
        <v>186</v>
      </c>
      <c r="C140" t="s">
        <v>187</v>
      </c>
      <c r="D140" t="s">
        <v>188</v>
      </c>
      <c r="E140" t="s">
        <v>189</v>
      </c>
      <c r="F140" s="52">
        <v>4107762238</v>
      </c>
      <c r="H140" t="s">
        <v>190</v>
      </c>
      <c r="O140" t="s">
        <v>191</v>
      </c>
      <c r="Q140">
        <f>--ISNUMBER(SEARCH('RC Checklist'!$G$2,A140))</f>
        <v>0</v>
      </c>
      <c r="R140" t="str">
        <f>IF(Q140=1,COUNTIF($Q$2:$Q140,1),"")</f>
        <v/>
      </c>
      <c r="S140" t="str">
        <f>IFERROR(INDEX(ClientInfo[Full Name], MATCH(ROWS($R$2:$R140),ClientInfo[frequency], 0)),"")</f>
        <v/>
      </c>
    </row>
    <row r="141" spans="1:19">
      <c r="A141" t="str">
        <f>TRIM(CONCATENATE(ClientInfo[[#This Row],[First Name]], " ",ClientInfo[[#This Row],[Last Name]]))</f>
        <v>Bubba</v>
      </c>
      <c r="B141" t="s">
        <v>596</v>
      </c>
      <c r="Q141">
        <f>--ISNUMBER(SEARCH('RC Checklist'!$G$2,A141))</f>
        <v>0</v>
      </c>
      <c r="R141" t="str">
        <f>IF(Q141=1,COUNTIF($Q$2:$Q141,1),"")</f>
        <v/>
      </c>
      <c r="S141" t="str">
        <f>IFERROR(INDEX(ClientInfo[Full Name], MATCH(ROWS($R$2:$R141),ClientInfo[frequency], 0)),"")</f>
        <v/>
      </c>
    </row>
    <row r="142" spans="1:19">
      <c r="A142" t="str">
        <f>TRIM(CONCATENATE(ClientInfo[[#This Row],[First Name]], " ",ClientInfo[[#This Row],[Last Name]]))</f>
        <v>Buckmeyer</v>
      </c>
      <c r="B142" t="s">
        <v>743</v>
      </c>
      <c r="F142" s="52">
        <v>4105576777</v>
      </c>
      <c r="Q142">
        <f>--ISNUMBER(SEARCH('RC Checklist'!$G$2,A142))</f>
        <v>0</v>
      </c>
      <c r="R142" t="str">
        <f>IF(Q142=1,COUNTIF($Q$2:$Q142,1),"")</f>
        <v/>
      </c>
      <c r="S142" t="str">
        <f>IFERROR(INDEX(ClientInfo[Full Name], MATCH(ROWS($R$2:$R142),ClientInfo[frequency], 0)),"")</f>
        <v/>
      </c>
    </row>
    <row r="143" spans="1:19">
      <c r="A143" t="str">
        <f>TRIM(CONCATENATE(ClientInfo[[#This Row],[First Name]], " ",ClientInfo[[#This Row],[Last Name]]))</f>
        <v>Burnie</v>
      </c>
      <c r="B143" t="s">
        <v>323</v>
      </c>
      <c r="F143" s="52">
        <v>4102070661</v>
      </c>
      <c r="G143" s="52">
        <v>4105744326</v>
      </c>
      <c r="H143" t="s">
        <v>324</v>
      </c>
      <c r="P143" t="s">
        <v>325</v>
      </c>
      <c r="Q143">
        <f>--ISNUMBER(SEARCH('RC Checklist'!$G$2,A143))</f>
        <v>0</v>
      </c>
      <c r="R143" t="str">
        <f>IF(Q143=1,COUNTIF($Q$2:$Q143,1),"")</f>
        <v/>
      </c>
      <c r="S143" t="str">
        <f>IFERROR(INDEX(ClientInfo[Full Name], MATCH(ROWS($R$2:$R143),ClientInfo[frequency], 0)),"")</f>
        <v/>
      </c>
    </row>
    <row r="144" spans="1:19">
      <c r="A144" t="str">
        <f>TRIM(CONCATENATE(ClientInfo[[#This Row],[First Name]], " ",ClientInfo[[#This Row],[Last Name]]))</f>
        <v>Butch Sprinkler Guy</v>
      </c>
      <c r="B144" t="s">
        <v>1510</v>
      </c>
      <c r="C144" t="s">
        <v>1511</v>
      </c>
      <c r="Q144">
        <f>--ISNUMBER(SEARCH('RC Checklist'!$G$2,A144))</f>
        <v>0</v>
      </c>
      <c r="R144" t="str">
        <f>IF(Q144=1,COUNTIF($Q$2:$Q144,1),"")</f>
        <v/>
      </c>
      <c r="S144" t="str">
        <f>IFERROR(INDEX(ClientInfo[Full Name], MATCH(ROWS($R$2:$R144),ClientInfo[frequency], 0)),"")</f>
        <v/>
      </c>
    </row>
    <row r="145" spans="1:19">
      <c r="A145" t="str">
        <f>TRIM(CONCATENATE(ClientInfo[[#This Row],[First Name]], " ",ClientInfo[[#This Row],[Last Name]]))</f>
        <v>BW Auto Auction</v>
      </c>
      <c r="B145" t="s">
        <v>1791</v>
      </c>
      <c r="D145" t="s">
        <v>1791</v>
      </c>
      <c r="F145" s="52" t="s">
        <v>1792</v>
      </c>
      <c r="Q145">
        <f>--ISNUMBER(SEARCH('RC Checklist'!$G$2,A145))</f>
        <v>0</v>
      </c>
      <c r="R145" t="str">
        <f>IF(Q145=1,COUNTIF($Q$2:$Q145,1),"")</f>
        <v/>
      </c>
      <c r="S145" t="str">
        <f>IFERROR(INDEX(ClientInfo[Full Name], MATCH(ROWS($R$2:$R145),ClientInfo[frequency], 0)),"")</f>
        <v/>
      </c>
    </row>
    <row r="146" spans="1:19">
      <c r="A146" t="str">
        <f>TRIM(CONCATENATE(ClientInfo[[#This Row],[First Name]], " ",ClientInfo[[#This Row],[Last Name]]))</f>
        <v>Byron Jones</v>
      </c>
      <c r="B146" t="s">
        <v>476</v>
      </c>
      <c r="C146" t="s">
        <v>477</v>
      </c>
      <c r="D146" t="s">
        <v>478</v>
      </c>
      <c r="F146" s="52" t="s">
        <v>479</v>
      </c>
      <c r="G146" s="52" t="s">
        <v>480</v>
      </c>
      <c r="H146" t="s">
        <v>481</v>
      </c>
      <c r="Q146">
        <f>--ISNUMBER(SEARCH('RC Checklist'!$G$2,A146))</f>
        <v>0</v>
      </c>
      <c r="R146" t="str">
        <f>IF(Q146=1,COUNTIF($Q$2:$Q146,1),"")</f>
        <v/>
      </c>
      <c r="S146" t="str">
        <f>IFERROR(INDEX(ClientInfo[Full Name], MATCH(ROWS($R$2:$R146),ClientInfo[frequency], 0)),"")</f>
        <v/>
      </c>
    </row>
    <row r="147" spans="1:19">
      <c r="A147" t="str">
        <f>TRIM(CONCATENATE(ClientInfo[[#This Row],[First Name]], " ",ClientInfo[[#This Row],[Last Name]]))</f>
        <v>Calvert Wholesale</v>
      </c>
      <c r="B147" t="s">
        <v>293</v>
      </c>
      <c r="D147" t="s">
        <v>293</v>
      </c>
      <c r="F147" s="52">
        <v>4104661600</v>
      </c>
      <c r="Q147">
        <f>--ISNUMBER(SEARCH('RC Checklist'!$G$2,A147))</f>
        <v>0</v>
      </c>
      <c r="R147" t="str">
        <f>IF(Q147=1,COUNTIF($Q$2:$Q147,1),"")</f>
        <v/>
      </c>
      <c r="S147" t="str">
        <f>IFERROR(INDEX(ClientInfo[Full Name], MATCH(ROWS($R$2:$R147),ClientInfo[frequency], 0)),"")</f>
        <v/>
      </c>
    </row>
    <row r="148" spans="1:19">
      <c r="A148" t="str">
        <f>TRIM(CONCATENATE(ClientInfo[[#This Row],[First Name]], " ",ClientInfo[[#This Row],[Last Name]]))</f>
        <v>Camp Luray Virginia</v>
      </c>
      <c r="B148" t="s">
        <v>1221</v>
      </c>
      <c r="D148" t="s">
        <v>1221</v>
      </c>
      <c r="F148" s="52" t="s">
        <v>1222</v>
      </c>
      <c r="Q148">
        <f>--ISNUMBER(SEARCH('RC Checklist'!$G$2,A148))</f>
        <v>0</v>
      </c>
      <c r="R148" t="str">
        <f>IF(Q148=1,COUNTIF($Q$2:$Q148,1),"")</f>
        <v/>
      </c>
      <c r="S148" t="str">
        <f>IFERROR(INDEX(ClientInfo[Full Name], MATCH(ROWS($R$2:$R148),ClientInfo[frequency], 0)),"")</f>
        <v/>
      </c>
    </row>
    <row r="149" spans="1:19">
      <c r="A149" t="str">
        <f>TRIM(CONCATENATE(ClientInfo[[#This Row],[First Name]], " ",ClientInfo[[#This Row],[Last Name]]))</f>
        <v>Candace</v>
      </c>
      <c r="B149" t="s">
        <v>2825</v>
      </c>
      <c r="F149" s="52" t="s">
        <v>2826</v>
      </c>
      <c r="Q149">
        <f>--ISNUMBER(SEARCH('RC Checklist'!$G$2,A149))</f>
        <v>0</v>
      </c>
      <c r="R149" t="str">
        <f>IF(Q149=1,COUNTIF($Q$2:$Q149,1),"")</f>
        <v/>
      </c>
      <c r="S149" t="str">
        <f>IFERROR(INDEX(ClientInfo[Full Name], MATCH(ROWS($R$2:$R149),ClientInfo[frequency], 0)),"")</f>
        <v/>
      </c>
    </row>
    <row r="150" spans="1:19">
      <c r="A150" t="str">
        <f>TRIM(CONCATENATE(ClientInfo[[#This Row],[First Name]], " ",ClientInfo[[#This Row],[Last Name]]))</f>
        <v>Candace Violanti</v>
      </c>
      <c r="B150" t="s">
        <v>2825</v>
      </c>
      <c r="C150" t="s">
        <v>1788</v>
      </c>
      <c r="F150" s="52" t="s">
        <v>2887</v>
      </c>
      <c r="O150" t="s">
        <v>2888</v>
      </c>
      <c r="Q150">
        <f>--ISNUMBER(SEARCH('RC Checklist'!$G$2,A150))</f>
        <v>0</v>
      </c>
      <c r="R150" t="str">
        <f>IF(Q150=1,COUNTIF($Q$2:$Q150,1),"")</f>
        <v/>
      </c>
      <c r="S150" t="str">
        <f>IFERROR(INDEX(ClientInfo[Full Name], MATCH(ROWS($R$2:$R150),ClientInfo[frequency], 0)),"")</f>
        <v/>
      </c>
    </row>
    <row r="151" spans="1:19">
      <c r="A151" t="str">
        <f>TRIM(CONCATENATE(ClientInfo[[#This Row],[First Name]], " ",ClientInfo[[#This Row],[Last Name]]))</f>
        <v>Captain bob</v>
      </c>
      <c r="B151" t="s">
        <v>1931</v>
      </c>
      <c r="C151" t="s">
        <v>1932</v>
      </c>
      <c r="F151" s="52">
        <v>7172351166</v>
      </c>
      <c r="Q151">
        <f>--ISNUMBER(SEARCH('RC Checklist'!$G$2,A151))</f>
        <v>0</v>
      </c>
      <c r="R151" t="str">
        <f>IF(Q151=1,COUNTIF($Q$2:$Q151,1),"")</f>
        <v/>
      </c>
      <c r="S151" t="str">
        <f>IFERROR(INDEX(ClientInfo[Full Name], MATCH(ROWS($R$2:$R151),ClientInfo[frequency], 0)),"")</f>
        <v/>
      </c>
    </row>
    <row r="152" spans="1:19">
      <c r="A152" t="str">
        <f>TRIM(CONCATENATE(ClientInfo[[#This Row],[First Name]], " ",ClientInfo[[#This Row],[Last Name]]))</f>
        <v>Carey Harper</v>
      </c>
      <c r="B152" t="s">
        <v>1346</v>
      </c>
      <c r="C152" t="s">
        <v>1347</v>
      </c>
      <c r="F152" s="52" t="s">
        <v>1348</v>
      </c>
      <c r="H152" t="s">
        <v>1349</v>
      </c>
      <c r="P152">
        <v>6224</v>
      </c>
      <c r="Q152">
        <f>--ISNUMBER(SEARCH('RC Checklist'!$G$2,A152))</f>
        <v>0</v>
      </c>
      <c r="R152" t="str">
        <f>IF(Q152=1,COUNTIF($Q$2:$Q152,1),"")</f>
        <v/>
      </c>
      <c r="S152" t="str">
        <f>IFERROR(INDEX(ClientInfo[Full Name], MATCH(ROWS($R$2:$R152),ClientInfo[frequency], 0)),"")</f>
        <v/>
      </c>
    </row>
    <row r="153" spans="1:19">
      <c r="A153" t="str">
        <f>TRIM(CONCATENATE(ClientInfo[[#This Row],[First Name]], " ",ClientInfo[[#This Row],[Last Name]]))</f>
        <v>Carl</v>
      </c>
      <c r="B153" t="s">
        <v>1682</v>
      </c>
      <c r="F153" s="52">
        <v>14435623884</v>
      </c>
      <c r="Q153">
        <f>--ISNUMBER(SEARCH('RC Checklist'!$G$2,A153))</f>
        <v>0</v>
      </c>
      <c r="R153" t="str">
        <f>IF(Q153=1,COUNTIF($Q$2:$Q153,1),"")</f>
        <v/>
      </c>
      <c r="S153" t="str">
        <f>IFERROR(INDEX(ClientInfo[Full Name], MATCH(ROWS($R$2:$R153),ClientInfo[frequency], 0)),"")</f>
        <v/>
      </c>
    </row>
    <row r="154" spans="1:19">
      <c r="A154" t="str">
        <f>TRIM(CONCATENATE(ClientInfo[[#This Row],[First Name]], " ",ClientInfo[[#This Row],[Last Name]]))</f>
        <v>Carl Lowe</v>
      </c>
      <c r="B154" t="s">
        <v>1682</v>
      </c>
      <c r="C154" t="s">
        <v>1683</v>
      </c>
      <c r="F154" s="52" t="s">
        <v>1684</v>
      </c>
      <c r="G154" s="52" t="s">
        <v>1685</v>
      </c>
      <c r="Q154">
        <f>--ISNUMBER(SEARCH('RC Checklist'!$G$2,A154))</f>
        <v>0</v>
      </c>
      <c r="R154" t="str">
        <f>IF(Q154=1,COUNTIF($Q$2:$Q154,1),"")</f>
        <v/>
      </c>
      <c r="S154" t="str">
        <f>IFERROR(INDEX(ClientInfo[Full Name], MATCH(ROWS($R$2:$R154),ClientInfo[frequency], 0)),"")</f>
        <v/>
      </c>
    </row>
    <row r="155" spans="1:19">
      <c r="A155" t="str">
        <f>TRIM(CONCATENATE(ClientInfo[[#This Row],[First Name]], " ",ClientInfo[[#This Row],[Last Name]]))</f>
        <v>Carlene Randolph</v>
      </c>
      <c r="B155" t="s">
        <v>1030</v>
      </c>
      <c r="C155" t="s">
        <v>1031</v>
      </c>
      <c r="F155" s="52" t="s">
        <v>1032</v>
      </c>
      <c r="Q155">
        <f>--ISNUMBER(SEARCH('RC Checklist'!$G$2,A155))</f>
        <v>0</v>
      </c>
      <c r="R155" t="str">
        <f>IF(Q155=1,COUNTIF($Q$2:$Q155,1),"")</f>
        <v/>
      </c>
      <c r="S155" t="str">
        <f>IFERROR(INDEX(ClientInfo[Full Name], MATCH(ROWS($R$2:$R155),ClientInfo[frequency], 0)),"")</f>
        <v/>
      </c>
    </row>
    <row r="156" spans="1:19">
      <c r="A156" t="str">
        <f>TRIM(CONCATENATE(ClientInfo[[#This Row],[First Name]], " ",ClientInfo[[#This Row],[Last Name]]))</f>
        <v>Carlene Randolph</v>
      </c>
      <c r="B156" t="s">
        <v>1030</v>
      </c>
      <c r="C156" t="s">
        <v>1031</v>
      </c>
      <c r="F156" s="52">
        <v>14104918804</v>
      </c>
      <c r="Q156">
        <f>--ISNUMBER(SEARCH('RC Checklist'!$G$2,A156))</f>
        <v>0</v>
      </c>
      <c r="R156" t="str">
        <f>IF(Q156=1,COUNTIF($Q$2:$Q156,1),"")</f>
        <v/>
      </c>
      <c r="S156" t="str">
        <f>IFERROR(INDEX(ClientInfo[Full Name], MATCH(ROWS($R$2:$R156),ClientInfo[frequency], 0)),"")</f>
        <v/>
      </c>
    </row>
    <row r="157" spans="1:19">
      <c r="A157" t="str">
        <f>TRIM(CONCATENATE(ClientInfo[[#This Row],[First Name]], " ",ClientInfo[[#This Row],[Last Name]]))</f>
        <v>Carls detail</v>
      </c>
      <c r="B157" t="s">
        <v>1520</v>
      </c>
      <c r="C157" t="s">
        <v>1521</v>
      </c>
      <c r="F157" s="52">
        <v>4104043397</v>
      </c>
      <c r="Q157">
        <f>--ISNUMBER(SEARCH('RC Checklist'!$G$2,A157))</f>
        <v>0</v>
      </c>
      <c r="R157" t="str">
        <f>IF(Q157=1,COUNTIF($Q$2:$Q157,1),"")</f>
        <v/>
      </c>
      <c r="S157" t="str">
        <f>IFERROR(INDEX(ClientInfo[Full Name], MATCH(ROWS($R$2:$R157),ClientInfo[frequency], 0)),"")</f>
        <v/>
      </c>
    </row>
    <row r="158" spans="1:19">
      <c r="A158" t="str">
        <f>TRIM(CONCATENATE(ClientInfo[[#This Row],[First Name]], " ",ClientInfo[[#This Row],[Last Name]]))</f>
        <v>Carmines pizza</v>
      </c>
      <c r="B158" t="s">
        <v>1424</v>
      </c>
      <c r="C158" t="s">
        <v>1425</v>
      </c>
      <c r="F158" s="52">
        <v>4107710774</v>
      </c>
      <c r="Q158">
        <f>--ISNUMBER(SEARCH('RC Checklist'!$G$2,A158))</f>
        <v>0</v>
      </c>
      <c r="R158" t="str">
        <f>IF(Q158=1,COUNTIF($Q$2:$Q158,1),"")</f>
        <v/>
      </c>
      <c r="S158" t="str">
        <f>IFERROR(INDEX(ClientInfo[Full Name], MATCH(ROWS($R$2:$R158),ClientInfo[frequency], 0)),"")</f>
        <v/>
      </c>
    </row>
    <row r="159" spans="1:19">
      <c r="A159" t="str">
        <f>TRIM(CONCATENATE(ClientInfo[[#This Row],[First Name]], " ",ClientInfo[[#This Row],[Last Name]]))</f>
        <v>Carol Chrisman</v>
      </c>
      <c r="B159" t="s">
        <v>711</v>
      </c>
      <c r="C159" t="s">
        <v>2203</v>
      </c>
      <c r="Q159">
        <f>--ISNUMBER(SEARCH('RC Checklist'!$G$2,A159))</f>
        <v>0</v>
      </c>
      <c r="R159" t="str">
        <f>IF(Q159=1,COUNTIF($Q$2:$Q159,1),"")</f>
        <v/>
      </c>
      <c r="S159" t="str">
        <f>IFERROR(INDEX(ClientInfo[Full Name], MATCH(ROWS($R$2:$R159),ClientInfo[frequency], 0)),"")</f>
        <v/>
      </c>
    </row>
    <row r="160" spans="1:19">
      <c r="A160" t="str">
        <f>TRIM(CONCATENATE(ClientInfo[[#This Row],[First Name]], " ",ClientInfo[[#This Row],[Last Name]]))</f>
        <v>Carol Copeland</v>
      </c>
      <c r="B160" t="s">
        <v>711</v>
      </c>
      <c r="C160" t="s">
        <v>2011</v>
      </c>
      <c r="F160" s="52">
        <v>4434655219</v>
      </c>
      <c r="G160" s="52">
        <v>4105849226</v>
      </c>
      <c r="O160" t="s">
        <v>2012</v>
      </c>
      <c r="P160">
        <v>1345</v>
      </c>
      <c r="Q160">
        <f>--ISNUMBER(SEARCH('RC Checklist'!$G$2,A160))</f>
        <v>0</v>
      </c>
      <c r="R160" t="str">
        <f>IF(Q160=1,COUNTIF($Q$2:$Q160,1),"")</f>
        <v/>
      </c>
      <c r="S160" t="str">
        <f>IFERROR(INDEX(ClientInfo[Full Name], MATCH(ROWS($R$2:$R160),ClientInfo[frequency], 0)),"")</f>
        <v/>
      </c>
    </row>
    <row r="161" spans="1:19">
      <c r="A161" t="str">
        <f>TRIM(CONCATENATE(ClientInfo[[#This Row],[First Name]], " ",ClientInfo[[#This Row],[Last Name]]))</f>
        <v>Carol Dalton</v>
      </c>
      <c r="B161" t="s">
        <v>711</v>
      </c>
      <c r="C161" t="s">
        <v>2904</v>
      </c>
      <c r="H161" t="s">
        <v>2905</v>
      </c>
      <c r="Q161">
        <f>--ISNUMBER(SEARCH('RC Checklist'!$G$2,A161))</f>
        <v>0</v>
      </c>
      <c r="R161" t="str">
        <f>IF(Q161=1,COUNTIF($Q$2:$Q161,1),"")</f>
        <v/>
      </c>
      <c r="S161" t="str">
        <f>IFERROR(INDEX(ClientInfo[Full Name], MATCH(ROWS($R$2:$R161),ClientInfo[frequency], 0)),"")</f>
        <v/>
      </c>
    </row>
    <row r="162" spans="1:19">
      <c r="A162" t="str">
        <f>TRIM(CONCATENATE(ClientInfo[[#This Row],[First Name]], " ",ClientInfo[[#This Row],[Last Name]]))</f>
        <v>Carol Harten</v>
      </c>
      <c r="B162" t="s">
        <v>711</v>
      </c>
      <c r="C162" t="s">
        <v>1364</v>
      </c>
      <c r="E162" t="s">
        <v>1365</v>
      </c>
      <c r="F162" s="52" t="s">
        <v>1366</v>
      </c>
      <c r="G162" s="52">
        <v>4103377995</v>
      </c>
      <c r="H162" t="s">
        <v>1367</v>
      </c>
      <c r="O162" t="s">
        <v>1368</v>
      </c>
      <c r="Q162">
        <f>--ISNUMBER(SEARCH('RC Checklist'!$G$2,A162))</f>
        <v>0</v>
      </c>
      <c r="R162" t="str">
        <f>IF(Q162=1,COUNTIF($Q$2:$Q162,1),"")</f>
        <v/>
      </c>
      <c r="S162" t="str">
        <f>IFERROR(INDEX(ClientInfo[Full Name], MATCH(ROWS($R$2:$R162),ClientInfo[frequency], 0)),"")</f>
        <v/>
      </c>
    </row>
    <row r="163" spans="1:19">
      <c r="A163" t="str">
        <f>TRIM(CONCATENATE(ClientInfo[[#This Row],[First Name]], " ",ClientInfo[[#This Row],[Last Name]]))</f>
        <v>Carol Martin</v>
      </c>
      <c r="B163" t="s">
        <v>711</v>
      </c>
      <c r="C163" t="s">
        <v>712</v>
      </c>
      <c r="Q163">
        <f>--ISNUMBER(SEARCH('RC Checklist'!$G$2,A163))</f>
        <v>0</v>
      </c>
      <c r="R163" t="str">
        <f>IF(Q163=1,COUNTIF($Q$2:$Q163,1),"")</f>
        <v/>
      </c>
      <c r="S163" t="str">
        <f>IFERROR(INDEX(ClientInfo[Full Name], MATCH(ROWS($R$2:$R163),ClientInfo[frequency], 0)),"")</f>
        <v/>
      </c>
    </row>
    <row r="164" spans="1:19">
      <c r="A164" t="str">
        <f>TRIM(CONCATENATE(ClientInfo[[#This Row],[First Name]], " ",ClientInfo[[#This Row],[Last Name]]))</f>
        <v>Carolyn &amp; Ginni Elkins</v>
      </c>
      <c r="B164" t="s">
        <v>2842</v>
      </c>
      <c r="C164" t="s">
        <v>2843</v>
      </c>
      <c r="F164" s="52" t="s">
        <v>2844</v>
      </c>
      <c r="O164" t="s">
        <v>2845</v>
      </c>
      <c r="P164" t="s">
        <v>2846</v>
      </c>
      <c r="Q164">
        <f>--ISNUMBER(SEARCH('RC Checklist'!$G$2,A164))</f>
        <v>0</v>
      </c>
      <c r="R164" t="str">
        <f>IF(Q164=1,COUNTIF($Q$2:$Q164,1),"")</f>
        <v/>
      </c>
      <c r="S164" t="str">
        <f>IFERROR(INDEX(ClientInfo[Full Name], MATCH(ROWS($R$2:$R164),ClientInfo[frequency], 0)),"")</f>
        <v/>
      </c>
    </row>
    <row r="165" spans="1:19">
      <c r="A165" t="str">
        <f>TRIM(CONCATENATE(ClientInfo[[#This Row],[First Name]], " ",ClientInfo[[#This Row],[Last Name]]))</f>
        <v>Carrier Mid-Atlantic</v>
      </c>
      <c r="B165" t="s">
        <v>807</v>
      </c>
      <c r="D165" t="s">
        <v>807</v>
      </c>
      <c r="F165" s="52" t="s">
        <v>808</v>
      </c>
      <c r="O165" t="s">
        <v>809</v>
      </c>
      <c r="Q165">
        <f>--ISNUMBER(SEARCH('RC Checklist'!$G$2,A165))</f>
        <v>0</v>
      </c>
      <c r="R165" t="str">
        <f>IF(Q165=1,COUNTIF($Q$2:$Q165,1),"")</f>
        <v/>
      </c>
      <c r="S165" t="str">
        <f>IFERROR(INDEX(ClientInfo[Full Name], MATCH(ROWS($R$2:$R165),ClientInfo[frequency], 0)),"")</f>
        <v/>
      </c>
    </row>
    <row r="166" spans="1:19">
      <c r="A166" t="str">
        <f>TRIM(CONCATENATE(ClientInfo[[#This Row],[First Name]], " ",ClientInfo[[#This Row],[Last Name]]))</f>
        <v>Carson</v>
      </c>
      <c r="B166" t="s">
        <v>877</v>
      </c>
      <c r="D166" t="s">
        <v>878</v>
      </c>
      <c r="F166" s="52" t="s">
        <v>879</v>
      </c>
      <c r="Q166">
        <f>--ISNUMBER(SEARCH('RC Checklist'!$G$2,A166))</f>
        <v>0</v>
      </c>
      <c r="R166" t="str">
        <f>IF(Q166=1,COUNTIF($Q$2:$Q166,1),"")</f>
        <v/>
      </c>
      <c r="S166" t="str">
        <f>IFERROR(INDEX(ClientInfo[Full Name], MATCH(ROWS($R$2:$R166),ClientInfo[frequency], 0)),"")</f>
        <v/>
      </c>
    </row>
    <row r="167" spans="1:19">
      <c r="A167" t="str">
        <f>TRIM(CONCATENATE(ClientInfo[[#This Row],[First Name]], " ",ClientInfo[[#This Row],[Last Name]]))</f>
        <v>Casa Mia's</v>
      </c>
      <c r="B167" t="s">
        <v>2624</v>
      </c>
      <c r="D167" t="s">
        <v>2624</v>
      </c>
      <c r="F167" s="52" t="s">
        <v>2625</v>
      </c>
      <c r="Q167">
        <f>--ISNUMBER(SEARCH('RC Checklist'!$G$2,A167))</f>
        <v>0</v>
      </c>
      <c r="R167" t="str">
        <f>IF(Q167=1,COUNTIF($Q$2:$Q167,1),"")</f>
        <v/>
      </c>
      <c r="S167" t="str">
        <f>IFERROR(INDEX(ClientInfo[Full Name], MATCH(ROWS($R$2:$R167),ClientInfo[frequency], 0)),"")</f>
        <v/>
      </c>
    </row>
    <row r="168" spans="1:19">
      <c r="A168" t="str">
        <f>TRIM(CONCATENATE(ClientInfo[[#This Row],[First Name]], " ",ClientInfo[[#This Row],[Last Name]]))</f>
        <v>Casey</v>
      </c>
      <c r="B168" t="s">
        <v>2790</v>
      </c>
      <c r="D168" t="s">
        <v>2791</v>
      </c>
      <c r="F168" s="52">
        <v>4108774647</v>
      </c>
      <c r="Q168">
        <f>--ISNUMBER(SEARCH('RC Checklist'!$G$2,A168))</f>
        <v>0</v>
      </c>
      <c r="R168" t="str">
        <f>IF(Q168=1,COUNTIF($Q$2:$Q168,1),"")</f>
        <v/>
      </c>
      <c r="S168" t="str">
        <f>IFERROR(INDEX(ClientInfo[Full Name], MATCH(ROWS($R$2:$R168),ClientInfo[frequency], 0)),"")</f>
        <v/>
      </c>
    </row>
    <row r="169" spans="1:19">
      <c r="A169" t="str">
        <f>TRIM(CONCATENATE(ClientInfo[[#This Row],[First Name]], " ",ClientInfo[[#This Row],[Last Name]]))</f>
        <v>Casidy</v>
      </c>
      <c r="B169" t="s">
        <v>730</v>
      </c>
      <c r="Q169">
        <f>--ISNUMBER(SEARCH('RC Checklist'!$G$2,A169))</f>
        <v>0</v>
      </c>
      <c r="R169" t="str">
        <f>IF(Q169=1,COUNTIF($Q$2:$Q169,1),"")</f>
        <v/>
      </c>
      <c r="S169" t="str">
        <f>IFERROR(INDEX(ClientInfo[Full Name], MATCH(ROWS($R$2:$R169),ClientInfo[frequency], 0)),"")</f>
        <v/>
      </c>
    </row>
    <row r="170" spans="1:19">
      <c r="A170" t="str">
        <f>TRIM(CONCATENATE(ClientInfo[[#This Row],[First Name]], " ",ClientInfo[[#This Row],[Last Name]]))</f>
        <v>Casidy Graefi</v>
      </c>
      <c r="B170" t="s">
        <v>730</v>
      </c>
      <c r="C170" t="s">
        <v>1463</v>
      </c>
      <c r="F170" s="52" t="s">
        <v>1464</v>
      </c>
      <c r="Q170">
        <f>--ISNUMBER(SEARCH('RC Checklist'!$G$2,A170))</f>
        <v>0</v>
      </c>
      <c r="R170" t="str">
        <f>IF(Q170=1,COUNTIF($Q$2:$Q170,1),"")</f>
        <v/>
      </c>
      <c r="S170" t="str">
        <f>IFERROR(INDEX(ClientInfo[Full Name], MATCH(ROWS($R$2:$R170),ClientInfo[frequency], 0)),"")</f>
        <v/>
      </c>
    </row>
    <row r="171" spans="1:19">
      <c r="A171" t="str">
        <f>TRIM(CONCATENATE(ClientInfo[[#This Row],[First Name]], " ",ClientInfo[[#This Row],[Last Name]]))</f>
        <v>Cat</v>
      </c>
      <c r="B171" t="s">
        <v>555</v>
      </c>
      <c r="F171" s="52" t="s">
        <v>556</v>
      </c>
      <c r="Q171">
        <f>--ISNUMBER(SEARCH('RC Checklist'!$G$2,A171))</f>
        <v>0</v>
      </c>
      <c r="R171" t="str">
        <f>IF(Q171=1,COUNTIF($Q$2:$Q171,1),"")</f>
        <v/>
      </c>
      <c r="S171" t="str">
        <f>IFERROR(INDEX(ClientInfo[Full Name], MATCH(ROWS($R$2:$R171),ClientInfo[frequency], 0)),"")</f>
        <v/>
      </c>
    </row>
    <row r="172" spans="1:19">
      <c r="A172" t="str">
        <f>TRIM(CONCATENATE(ClientInfo[[#This Row],[First Name]], " ",ClientInfo[[#This Row],[Last Name]]))</f>
        <v>Catherine Malstrom</v>
      </c>
      <c r="B172" t="s">
        <v>1813</v>
      </c>
      <c r="C172" t="s">
        <v>1483</v>
      </c>
      <c r="F172" s="52">
        <v>14102156817</v>
      </c>
      <c r="H172" t="s">
        <v>1814</v>
      </c>
      <c r="Q172">
        <f>--ISNUMBER(SEARCH('RC Checklist'!$G$2,A172))</f>
        <v>0</v>
      </c>
      <c r="R172" t="str">
        <f>IF(Q172=1,COUNTIF($Q$2:$Q172,1),"")</f>
        <v/>
      </c>
      <c r="S172" t="str">
        <f>IFERROR(INDEX(ClientInfo[Full Name], MATCH(ROWS($R$2:$R172),ClientInfo[frequency], 0)),"")</f>
        <v/>
      </c>
    </row>
    <row r="173" spans="1:19">
      <c r="A173" t="str">
        <f>TRIM(CONCATENATE(ClientInfo[[#This Row],[First Name]], " ",ClientInfo[[#This Row],[Last Name]]))</f>
        <v>Cathie Pagan</v>
      </c>
      <c r="B173" t="s">
        <v>2358</v>
      </c>
      <c r="C173" t="s">
        <v>2359</v>
      </c>
      <c r="H173" t="s">
        <v>2360</v>
      </c>
      <c r="Q173">
        <f>--ISNUMBER(SEARCH('RC Checklist'!$G$2,A173))</f>
        <v>0</v>
      </c>
      <c r="R173" t="str">
        <f>IF(Q173=1,COUNTIF($Q$2:$Q173,1),"")</f>
        <v/>
      </c>
      <c r="S173" t="str">
        <f>IFERROR(INDEX(ClientInfo[Full Name], MATCH(ROWS($R$2:$R173),ClientInfo[frequency], 0)),"")</f>
        <v/>
      </c>
    </row>
    <row r="174" spans="1:19">
      <c r="A174" t="str">
        <f>TRIM(CONCATENATE(ClientInfo[[#This Row],[First Name]], " ",ClientInfo[[#This Row],[Last Name]]))</f>
        <v>Celio Oliveras</v>
      </c>
      <c r="B174" t="s">
        <v>303</v>
      </c>
      <c r="C174" t="s">
        <v>304</v>
      </c>
      <c r="F174" s="52" t="s">
        <v>305</v>
      </c>
      <c r="Q174">
        <f>--ISNUMBER(SEARCH('RC Checklist'!$G$2,A174))</f>
        <v>0</v>
      </c>
      <c r="R174" t="str">
        <f>IF(Q174=1,COUNTIF($Q$2:$Q174,1),"")</f>
        <v/>
      </c>
      <c r="S174" t="str">
        <f>IFERROR(INDEX(ClientInfo[Full Name], MATCH(ROWS($R$2:$R174),ClientInfo[frequency], 0)),"")</f>
        <v/>
      </c>
    </row>
    <row r="175" spans="1:19">
      <c r="A175" t="str">
        <f>TRIM(CONCATENATE(ClientInfo[[#This Row],[First Name]], " ",ClientInfo[[#This Row],[Last Name]]))</f>
        <v>Central Maryland Contractors</v>
      </c>
      <c r="B175" t="s">
        <v>291</v>
      </c>
      <c r="D175" t="s">
        <v>291</v>
      </c>
      <c r="O175" t="s">
        <v>292</v>
      </c>
      <c r="Q175">
        <f>--ISNUMBER(SEARCH('RC Checklist'!$G$2,A175))</f>
        <v>0</v>
      </c>
      <c r="R175" t="str">
        <f>IF(Q175=1,COUNTIF($Q$2:$Q175,1),"")</f>
        <v/>
      </c>
      <c r="S175" t="str">
        <f>IFERROR(INDEX(ClientInfo[Full Name], MATCH(ROWS($R$2:$R175),ClientInfo[frequency], 0)),"")</f>
        <v/>
      </c>
    </row>
    <row r="176" spans="1:19">
      <c r="A176" t="str">
        <f>TRIM(CONCATENATE(ClientInfo[[#This Row],[First Name]], " ",ClientInfo[[#This Row],[Last Name]]))</f>
        <v>Certifit</v>
      </c>
      <c r="B176" t="s">
        <v>1625</v>
      </c>
      <c r="F176" s="52">
        <v>4105768800</v>
      </c>
      <c r="Q176">
        <f>--ISNUMBER(SEARCH('RC Checklist'!$G$2,A176))</f>
        <v>0</v>
      </c>
      <c r="R176" t="str">
        <f>IF(Q176=1,COUNTIF($Q$2:$Q176,1),"")</f>
        <v/>
      </c>
      <c r="S176" t="str">
        <f>IFERROR(INDEX(ClientInfo[Full Name], MATCH(ROWS($R$2:$R176),ClientInfo[frequency], 0)),"")</f>
        <v/>
      </c>
    </row>
    <row r="177" spans="1:19">
      <c r="A177" t="str">
        <f>TRIM(CONCATENATE(ClientInfo[[#This Row],[First Name]], " ",ClientInfo[[#This Row],[Last Name]]))</f>
        <v>Charlene Marks</v>
      </c>
      <c r="B177" t="s">
        <v>2291</v>
      </c>
      <c r="C177" t="s">
        <v>2292</v>
      </c>
      <c r="F177" s="52" t="s">
        <v>2293</v>
      </c>
      <c r="H177" t="s">
        <v>2294</v>
      </c>
      <c r="Q177">
        <f>--ISNUMBER(SEARCH('RC Checklist'!$G$2,A177))</f>
        <v>0</v>
      </c>
      <c r="R177" t="str">
        <f>IF(Q177=1,COUNTIF($Q$2:$Q177,1),"")</f>
        <v/>
      </c>
      <c r="S177" t="str">
        <f>IFERROR(INDEX(ClientInfo[Full Name], MATCH(ROWS($R$2:$R177),ClientInfo[frequency], 0)),"")</f>
        <v/>
      </c>
    </row>
    <row r="178" spans="1:19">
      <c r="A178" t="str">
        <f>TRIM(CONCATENATE(ClientInfo[[#This Row],[First Name]], " ",ClientInfo[[#This Row],[Last Name]]))</f>
        <v>Charles</v>
      </c>
      <c r="B178" t="s">
        <v>744</v>
      </c>
      <c r="F178" s="52">
        <v>4438589344</v>
      </c>
      <c r="Q178">
        <f>--ISNUMBER(SEARCH('RC Checklist'!$G$2,A178))</f>
        <v>0</v>
      </c>
      <c r="R178" t="str">
        <f>IF(Q178=1,COUNTIF($Q$2:$Q178,1),"")</f>
        <v/>
      </c>
      <c r="S178" t="str">
        <f>IFERROR(INDEX(ClientInfo[Full Name], MATCH(ROWS($R$2:$R178),ClientInfo[frequency], 0)),"")</f>
        <v/>
      </c>
    </row>
    <row r="179" spans="1:19">
      <c r="A179" t="str">
        <f>TRIM(CONCATENATE(ClientInfo[[#This Row],[First Name]], " ",ClientInfo[[#This Row],[Last Name]]))</f>
        <v>Charles &amp; Rosemary Meade</v>
      </c>
      <c r="B179" t="s">
        <v>2876</v>
      </c>
      <c r="C179" t="s">
        <v>2877</v>
      </c>
      <c r="F179" s="52" t="s">
        <v>2878</v>
      </c>
      <c r="O179" t="s">
        <v>2879</v>
      </c>
      <c r="Q179">
        <f>--ISNUMBER(SEARCH('RC Checklist'!$G$2,A179))</f>
        <v>0</v>
      </c>
      <c r="R179" t="str">
        <f>IF(Q179=1,COUNTIF($Q$2:$Q179,1),"")</f>
        <v/>
      </c>
      <c r="S179" t="str">
        <f>IFERROR(INDEX(ClientInfo[Full Name], MATCH(ROWS($R$2:$R179),ClientInfo[frequency], 0)),"")</f>
        <v/>
      </c>
    </row>
    <row r="180" spans="1:19">
      <c r="A180" t="str">
        <f>TRIM(CONCATENATE(ClientInfo[[#This Row],[First Name]], " ",ClientInfo[[#This Row],[Last Name]]))</f>
        <v>Charles Faults</v>
      </c>
      <c r="B180" t="s">
        <v>744</v>
      </c>
      <c r="C180" t="s">
        <v>745</v>
      </c>
      <c r="F180" s="52">
        <v>4106925038</v>
      </c>
      <c r="Q180">
        <f>--ISNUMBER(SEARCH('RC Checklist'!$G$2,A180))</f>
        <v>0</v>
      </c>
      <c r="R180" t="str">
        <f>IF(Q180=1,COUNTIF($Q$2:$Q180,1),"")</f>
        <v/>
      </c>
      <c r="S180" t="str">
        <f>IFERROR(INDEX(ClientInfo[Full Name], MATCH(ROWS($R$2:$R180),ClientInfo[frequency], 0)),"")</f>
        <v/>
      </c>
    </row>
    <row r="181" spans="1:19">
      <c r="A181" t="str">
        <f>TRIM(CONCATENATE(ClientInfo[[#This Row],[First Name]], " ",ClientInfo[[#This Row],[Last Name]]))</f>
        <v>Charles Foultz</v>
      </c>
      <c r="B181" t="s">
        <v>744</v>
      </c>
      <c r="C181" t="s">
        <v>2677</v>
      </c>
      <c r="F181" s="52" t="s">
        <v>2678</v>
      </c>
      <c r="Q181">
        <f>--ISNUMBER(SEARCH('RC Checklist'!$G$2,A181))</f>
        <v>0</v>
      </c>
      <c r="R181" t="str">
        <f>IF(Q181=1,COUNTIF($Q$2:$Q181,1),"")</f>
        <v/>
      </c>
      <c r="S181" t="str">
        <f>IFERROR(INDEX(ClientInfo[Full Name], MATCH(ROWS($R$2:$R181),ClientInfo[frequency], 0)),"")</f>
        <v/>
      </c>
    </row>
    <row r="182" spans="1:19">
      <c r="A182" t="str">
        <f>TRIM(CONCATENATE(ClientInfo[[#This Row],[First Name]], " ",ClientInfo[[#This Row],[Last Name]]))</f>
        <v>Charles Locke</v>
      </c>
      <c r="B182" t="s">
        <v>744</v>
      </c>
      <c r="C182" t="s">
        <v>1393</v>
      </c>
      <c r="F182" s="52" t="s">
        <v>1394</v>
      </c>
      <c r="Q182">
        <f>--ISNUMBER(SEARCH('RC Checklist'!$G$2,A182))</f>
        <v>0</v>
      </c>
      <c r="R182" t="str">
        <f>IF(Q182=1,COUNTIF($Q$2:$Q182,1),"")</f>
        <v/>
      </c>
      <c r="S182" t="str">
        <f>IFERROR(INDEX(ClientInfo[Full Name], MATCH(ROWS($R$2:$R182),ClientInfo[frequency], 0)),"")</f>
        <v/>
      </c>
    </row>
    <row r="183" spans="1:19">
      <c r="A183" t="str">
        <f>TRIM(CONCATENATE(ClientInfo[[#This Row],[First Name]], " ",ClientInfo[[#This Row],[Last Name]]))</f>
        <v>Charles Mccusker</v>
      </c>
      <c r="B183" t="s">
        <v>744</v>
      </c>
      <c r="C183" t="s">
        <v>1923</v>
      </c>
      <c r="F183" s="52" t="s">
        <v>1924</v>
      </c>
      <c r="Q183">
        <f>--ISNUMBER(SEARCH('RC Checklist'!$G$2,A183))</f>
        <v>0</v>
      </c>
      <c r="R183" t="str">
        <f>IF(Q183=1,COUNTIF($Q$2:$Q183,1),"")</f>
        <v/>
      </c>
      <c r="S183" t="str">
        <f>IFERROR(INDEX(ClientInfo[Full Name], MATCH(ROWS($R$2:$R183),ClientInfo[frequency], 0)),"")</f>
        <v/>
      </c>
    </row>
    <row r="184" spans="1:19">
      <c r="A184" t="str">
        <f>TRIM(CONCATENATE(ClientInfo[[#This Row],[First Name]], " ",ClientInfo[[#This Row],[Last Name]]))</f>
        <v>Charley Ives</v>
      </c>
      <c r="B184" t="s">
        <v>1150</v>
      </c>
      <c r="C184" t="s">
        <v>1151</v>
      </c>
      <c r="F184" s="52" t="s">
        <v>1152</v>
      </c>
      <c r="Q184">
        <f>--ISNUMBER(SEARCH('RC Checklist'!$G$2,A184))</f>
        <v>0</v>
      </c>
      <c r="R184" t="str">
        <f>IF(Q184=1,COUNTIF($Q$2:$Q184,1),"")</f>
        <v/>
      </c>
      <c r="S184" t="str">
        <f>IFERROR(INDEX(ClientInfo[Full Name], MATCH(ROWS($R$2:$R184),ClientInfo[frequency], 0)),"")</f>
        <v/>
      </c>
    </row>
    <row r="185" spans="1:19">
      <c r="A185" t="str">
        <f>TRIM(CONCATENATE(ClientInfo[[#This Row],[First Name]], " ",ClientInfo[[#This Row],[Last Name]]))</f>
        <v>Charlie</v>
      </c>
      <c r="B185" t="s">
        <v>2347</v>
      </c>
      <c r="D185" t="s">
        <v>2391</v>
      </c>
      <c r="F185" s="52" t="s">
        <v>2392</v>
      </c>
      <c r="Q185">
        <f>--ISNUMBER(SEARCH('RC Checklist'!$G$2,A185))</f>
        <v>0</v>
      </c>
      <c r="R185" t="str">
        <f>IF(Q185=1,COUNTIF($Q$2:$Q185,1),"")</f>
        <v/>
      </c>
      <c r="S185" t="str">
        <f>IFERROR(INDEX(ClientInfo[Full Name], MATCH(ROWS($R$2:$R185),ClientInfo[frequency], 0)),"")</f>
        <v/>
      </c>
    </row>
    <row r="186" spans="1:19">
      <c r="A186" t="str">
        <f>TRIM(CONCATENATE(ClientInfo[[#This Row],[First Name]], " ",ClientInfo[[#This Row],[Last Name]]))</f>
        <v>Charlie Simmons</v>
      </c>
      <c r="B186" t="s">
        <v>2347</v>
      </c>
      <c r="C186" t="s">
        <v>2348</v>
      </c>
      <c r="F186" s="52" t="s">
        <v>2349</v>
      </c>
      <c r="G186" s="52" t="s">
        <v>2350</v>
      </c>
      <c r="H186" t="s">
        <v>2351</v>
      </c>
      <c r="Q186">
        <f>--ISNUMBER(SEARCH('RC Checklist'!$G$2,A186))</f>
        <v>0</v>
      </c>
      <c r="R186" t="str">
        <f>IF(Q186=1,COUNTIF($Q$2:$Q186,1),"")</f>
        <v/>
      </c>
      <c r="S186" t="str">
        <f>IFERROR(INDEX(ClientInfo[Full Name], MATCH(ROWS($R$2:$R186),ClientInfo[frequency], 0)),"")</f>
        <v/>
      </c>
    </row>
    <row r="187" spans="1:19">
      <c r="A187" t="str">
        <f>TRIM(CONCATENATE(ClientInfo[[#This Row],[First Name]], " ",ClientInfo[[#This Row],[Last Name]]))</f>
        <v>Charly</v>
      </c>
      <c r="B187" t="s">
        <v>1312</v>
      </c>
      <c r="F187" s="52">
        <v>4109844246</v>
      </c>
      <c r="Q187">
        <f>--ISNUMBER(SEARCH('RC Checklist'!$G$2,A187))</f>
        <v>0</v>
      </c>
      <c r="R187" t="str">
        <f>IF(Q187=1,COUNTIF($Q$2:$Q187,1),"")</f>
        <v/>
      </c>
      <c r="S187" t="str">
        <f>IFERROR(INDEX(ClientInfo[Full Name], MATCH(ROWS($R$2:$R187),ClientInfo[frequency], 0)),"")</f>
        <v/>
      </c>
    </row>
    <row r="188" spans="1:19">
      <c r="A188" t="str">
        <f>TRIM(CONCATENATE(ClientInfo[[#This Row],[First Name]], " ",ClientInfo[[#This Row],[Last Name]]))</f>
        <v>Charly hubler</v>
      </c>
      <c r="B188" t="s">
        <v>1312</v>
      </c>
      <c r="C188" t="s">
        <v>1313</v>
      </c>
      <c r="F188" s="52">
        <v>4102153925</v>
      </c>
      <c r="Q188">
        <f>--ISNUMBER(SEARCH('RC Checklist'!$G$2,A188))</f>
        <v>0</v>
      </c>
      <c r="R188" t="str">
        <f>IF(Q188=1,COUNTIF($Q$2:$Q188,1),"")</f>
        <v/>
      </c>
      <c r="S188" t="str">
        <f>IFERROR(INDEX(ClientInfo[Full Name], MATCH(ROWS($R$2:$R188),ClientInfo[frequency], 0)),"")</f>
        <v/>
      </c>
    </row>
    <row r="189" spans="1:19">
      <c r="A189" t="str">
        <f>TRIM(CONCATENATE(ClientInfo[[#This Row],[First Name]], " ",ClientInfo[[#This Row],[Last Name]]))</f>
        <v>Charly Robbinson</v>
      </c>
      <c r="B189" t="s">
        <v>1312</v>
      </c>
      <c r="C189" t="s">
        <v>2200</v>
      </c>
      <c r="D189" t="s">
        <v>2201</v>
      </c>
      <c r="Q189">
        <f>--ISNUMBER(SEARCH('RC Checklist'!$G$2,A189))</f>
        <v>0</v>
      </c>
      <c r="R189" t="str">
        <f>IF(Q189=1,COUNTIF($Q$2:$Q189,1),"")</f>
        <v/>
      </c>
      <c r="S189" t="str">
        <f>IFERROR(INDEX(ClientInfo[Full Name], MATCH(ROWS($R$2:$R189),ClientInfo[frequency], 0)),"")</f>
        <v/>
      </c>
    </row>
    <row r="190" spans="1:19">
      <c r="A190" t="str">
        <f>TRIM(CONCATENATE(ClientInfo[[#This Row],[First Name]], " ",ClientInfo[[#This Row],[Last Name]]))</f>
        <v>Charly tabor</v>
      </c>
      <c r="B190" t="s">
        <v>1312</v>
      </c>
      <c r="C190" t="s">
        <v>2607</v>
      </c>
      <c r="F190" s="52">
        <v>4107897879</v>
      </c>
      <c r="Q190">
        <f>--ISNUMBER(SEARCH('RC Checklist'!$G$2,A190))</f>
        <v>0</v>
      </c>
      <c r="R190" t="str">
        <f>IF(Q190=1,COUNTIF($Q$2:$Q190,1),"")</f>
        <v/>
      </c>
      <c r="S190" t="str">
        <f>IFERROR(INDEX(ClientInfo[Full Name], MATCH(ROWS($R$2:$R190),ClientInfo[frequency], 0)),"")</f>
        <v/>
      </c>
    </row>
    <row r="191" spans="1:19">
      <c r="A191" t="str">
        <f>TRIM(CONCATENATE(ClientInfo[[#This Row],[First Name]], " ",ClientInfo[[#This Row],[Last Name]]))</f>
        <v>Charly Waechter</v>
      </c>
      <c r="B191" t="s">
        <v>1312</v>
      </c>
      <c r="C191" t="s">
        <v>1435</v>
      </c>
      <c r="F191" s="52" t="s">
        <v>1436</v>
      </c>
      <c r="Q191">
        <f>--ISNUMBER(SEARCH('RC Checklist'!$G$2,A191))</f>
        <v>0</v>
      </c>
      <c r="R191" t="str">
        <f>IF(Q191=1,COUNTIF($Q$2:$Q191,1),"")</f>
        <v/>
      </c>
      <c r="S191" t="str">
        <f>IFERROR(INDEX(ClientInfo[Full Name], MATCH(ROWS($R$2:$R191),ClientInfo[frequency], 0)),"")</f>
        <v/>
      </c>
    </row>
    <row r="192" spans="1:19">
      <c r="A192" t="str">
        <f>TRIM(CONCATENATE(ClientInfo[[#This Row],[First Name]], " ",ClientInfo[[#This Row],[Last Name]]))</f>
        <v>Chief Software</v>
      </c>
      <c r="B192" t="s">
        <v>29</v>
      </c>
      <c r="C192" t="s">
        <v>30</v>
      </c>
      <c r="H192" t="s">
        <v>31</v>
      </c>
      <c r="Q192">
        <f>--ISNUMBER(SEARCH('RC Checklist'!$G$2,A192))</f>
        <v>0</v>
      </c>
      <c r="R192" t="str">
        <f>IF(Q192=1,COUNTIF($Q$2:$Q192,1),"")</f>
        <v/>
      </c>
      <c r="S192" t="str">
        <f>IFERROR(INDEX(ClientInfo[Full Name], MATCH(ROWS($R$2:$R192),ClientInfo[frequency], 0)),"")</f>
        <v/>
      </c>
    </row>
    <row r="193" spans="1:19">
      <c r="A193" t="str">
        <f>TRIM(CONCATENATE(ClientInfo[[#This Row],[First Name]], " ",ClientInfo[[#This Row],[Last Name]]))</f>
        <v>Chip</v>
      </c>
      <c r="B193" t="s">
        <v>1201</v>
      </c>
      <c r="F193" s="52">
        <v>4436007518</v>
      </c>
      <c r="O193" t="s">
        <v>2827</v>
      </c>
      <c r="Q193">
        <f>--ISNUMBER(SEARCH('RC Checklist'!$G$2,A193))</f>
        <v>0</v>
      </c>
      <c r="R193" t="str">
        <f>IF(Q193=1,COUNTIF($Q$2:$Q193,1),"")</f>
        <v/>
      </c>
      <c r="S193" t="str">
        <f>IFERROR(INDEX(ClientInfo[Full Name], MATCH(ROWS($R$2:$R193),ClientInfo[frequency], 0)),"")</f>
        <v/>
      </c>
    </row>
    <row r="194" spans="1:19">
      <c r="A194" t="str">
        <f>TRIM(CONCATENATE(ClientInfo[[#This Row],[First Name]], " ",ClientInfo[[#This Row],[Last Name]]))</f>
        <v>Chip elaine</v>
      </c>
      <c r="B194" t="s">
        <v>1201</v>
      </c>
      <c r="C194" t="s">
        <v>1202</v>
      </c>
      <c r="F194" s="52" t="s">
        <v>1203</v>
      </c>
      <c r="G194" s="52">
        <v>4103083491</v>
      </c>
      <c r="Q194">
        <f>--ISNUMBER(SEARCH('RC Checklist'!$G$2,A194))</f>
        <v>0</v>
      </c>
      <c r="R194" t="str">
        <f>IF(Q194=1,COUNTIF($Q$2:$Q194,1),"")</f>
        <v/>
      </c>
      <c r="S194" t="str">
        <f>IFERROR(INDEX(ClientInfo[Full Name], MATCH(ROWS($R$2:$R194),ClientInfo[frequency], 0)),"")</f>
        <v/>
      </c>
    </row>
    <row r="195" spans="1:19">
      <c r="A195" t="str">
        <f>TRIM(CONCATENATE(ClientInfo[[#This Row],[First Name]], " ",ClientInfo[[#This Row],[Last Name]]))</f>
        <v>Chris</v>
      </c>
      <c r="B195" t="s">
        <v>731</v>
      </c>
      <c r="F195" s="52">
        <v>4437902913</v>
      </c>
      <c r="Q195">
        <f>--ISNUMBER(SEARCH('RC Checklist'!$G$2,A195))</f>
        <v>0</v>
      </c>
      <c r="R195" t="str">
        <f>IF(Q195=1,COUNTIF($Q$2:$Q195,1),"")</f>
        <v/>
      </c>
      <c r="S195" t="str">
        <f>IFERROR(INDEX(ClientInfo[Full Name], MATCH(ROWS($R$2:$R195),ClientInfo[frequency], 0)),"")</f>
        <v/>
      </c>
    </row>
    <row r="196" spans="1:19">
      <c r="A196" t="str">
        <f>TRIM(CONCATENATE(ClientInfo[[#This Row],[First Name]], " ",ClientInfo[[#This Row],[Last Name]]))</f>
        <v>Chris &amp; Jen Rodriguez</v>
      </c>
      <c r="B196" t="s">
        <v>2020</v>
      </c>
      <c r="C196" t="s">
        <v>1539</v>
      </c>
      <c r="F196" s="52" t="s">
        <v>2021</v>
      </c>
      <c r="H196" t="s">
        <v>2022</v>
      </c>
      <c r="O196" t="s">
        <v>2023</v>
      </c>
      <c r="Q196">
        <f>--ISNUMBER(SEARCH('RC Checklist'!$G$2,A196))</f>
        <v>0</v>
      </c>
      <c r="R196" t="str">
        <f>IF(Q196=1,COUNTIF($Q$2:$Q196,1),"")</f>
        <v/>
      </c>
      <c r="S196" t="str">
        <f>IFERROR(INDEX(ClientInfo[Full Name], MATCH(ROWS($R$2:$R196),ClientInfo[frequency], 0)),"")</f>
        <v/>
      </c>
    </row>
    <row r="197" spans="1:19">
      <c r="A197" t="str">
        <f>TRIM(CONCATENATE(ClientInfo[[#This Row],[First Name]], " ",ClientInfo[[#This Row],[Last Name]]))</f>
        <v>Chris Barns</v>
      </c>
      <c r="B197" t="s">
        <v>731</v>
      </c>
      <c r="C197" t="s">
        <v>732</v>
      </c>
      <c r="D197" t="s">
        <v>733</v>
      </c>
      <c r="F197" s="52" t="s">
        <v>734</v>
      </c>
      <c r="Q197">
        <f>--ISNUMBER(SEARCH('RC Checklist'!$G$2,A197))</f>
        <v>0</v>
      </c>
      <c r="R197" t="str">
        <f>IF(Q197=1,COUNTIF($Q$2:$Q197,1),"")</f>
        <v/>
      </c>
      <c r="S197" t="str">
        <f>IFERROR(INDEX(ClientInfo[Full Name], MATCH(ROWS($R$2:$R197),ClientInfo[frequency], 0)),"")</f>
        <v/>
      </c>
    </row>
    <row r="198" spans="1:19">
      <c r="A198" t="str">
        <f>TRIM(CONCATENATE(ClientInfo[[#This Row],[First Name]], " ",ClientInfo[[#This Row],[Last Name]]))</f>
        <v>Chris Benett</v>
      </c>
      <c r="B198" t="s">
        <v>731</v>
      </c>
      <c r="C198" t="s">
        <v>1719</v>
      </c>
      <c r="F198" s="52">
        <v>4105709574</v>
      </c>
      <c r="G198" s="52">
        <v>4102299985</v>
      </c>
      <c r="Q198">
        <f>--ISNUMBER(SEARCH('RC Checklist'!$G$2,A198))</f>
        <v>0</v>
      </c>
      <c r="R198" t="str">
        <f>IF(Q198=1,COUNTIF($Q$2:$Q198,1),"")</f>
        <v/>
      </c>
      <c r="S198" t="str">
        <f>IFERROR(INDEX(ClientInfo[Full Name], MATCH(ROWS($R$2:$R198),ClientInfo[frequency], 0)),"")</f>
        <v/>
      </c>
    </row>
    <row r="199" spans="1:19">
      <c r="A199" t="str">
        <f>TRIM(CONCATENATE(ClientInfo[[#This Row],[First Name]], " ",ClientInfo[[#This Row],[Last Name]]))</f>
        <v>Chris Doughtery</v>
      </c>
      <c r="B199" t="s">
        <v>731</v>
      </c>
      <c r="C199" t="s">
        <v>2172</v>
      </c>
      <c r="F199" s="52">
        <v>14438540404</v>
      </c>
      <c r="Q199">
        <f>--ISNUMBER(SEARCH('RC Checklist'!$G$2,A199))</f>
        <v>0</v>
      </c>
      <c r="R199" t="str">
        <f>IF(Q199=1,COUNTIF($Q$2:$Q199,1),"")</f>
        <v/>
      </c>
      <c r="S199" t="str">
        <f>IFERROR(INDEX(ClientInfo[Full Name], MATCH(ROWS($R$2:$R199),ClientInfo[frequency], 0)),"")</f>
        <v/>
      </c>
    </row>
    <row r="200" spans="1:19">
      <c r="A200" t="str">
        <f>TRIM(CONCATENATE(ClientInfo[[#This Row],[First Name]], " ",ClientInfo[[#This Row],[Last Name]]))</f>
        <v>Chris Eisenberg</v>
      </c>
      <c r="B200" t="s">
        <v>731</v>
      </c>
      <c r="C200" t="s">
        <v>1120</v>
      </c>
      <c r="F200" s="52">
        <v>4432553429</v>
      </c>
      <c r="Q200">
        <f>--ISNUMBER(SEARCH('RC Checklist'!$G$2,A200))</f>
        <v>0</v>
      </c>
      <c r="R200" t="str">
        <f>IF(Q200=1,COUNTIF($Q$2:$Q200,1),"")</f>
        <v/>
      </c>
      <c r="S200" t="str">
        <f>IFERROR(INDEX(ClientInfo[Full Name], MATCH(ROWS($R$2:$R200),ClientInfo[frequency], 0)),"")</f>
        <v/>
      </c>
    </row>
    <row r="201" spans="1:19">
      <c r="A201" t="str">
        <f>TRIM(CONCATENATE(ClientInfo[[#This Row],[First Name]], " ",ClientInfo[[#This Row],[Last Name]]))</f>
        <v>Chris Kerr</v>
      </c>
      <c r="B201" t="s">
        <v>731</v>
      </c>
      <c r="C201" t="s">
        <v>1095</v>
      </c>
      <c r="F201" s="52" t="s">
        <v>1096</v>
      </c>
      <c r="G201" s="52" t="s">
        <v>1097</v>
      </c>
      <c r="H201" t="s">
        <v>1098</v>
      </c>
      <c r="Q201">
        <f>--ISNUMBER(SEARCH('RC Checklist'!$G$2,A201))</f>
        <v>0</v>
      </c>
      <c r="R201" t="str">
        <f>IF(Q201=1,COUNTIF($Q$2:$Q201,1),"")</f>
        <v/>
      </c>
      <c r="S201" t="str">
        <f>IFERROR(INDEX(ClientInfo[Full Name], MATCH(ROWS($R$2:$R201),ClientInfo[frequency], 0)),"")</f>
        <v/>
      </c>
    </row>
    <row r="202" spans="1:19">
      <c r="A202" t="str">
        <f>TRIM(CONCATENATE(ClientInfo[[#This Row],[First Name]], " ",ClientInfo[[#This Row],[Last Name]]))</f>
        <v>Chris Puopolo</v>
      </c>
      <c r="B202" t="s">
        <v>731</v>
      </c>
      <c r="C202" t="s">
        <v>1815</v>
      </c>
      <c r="Q202">
        <f>--ISNUMBER(SEARCH('RC Checklist'!$G$2,A202))</f>
        <v>0</v>
      </c>
      <c r="R202" t="str">
        <f>IF(Q202=1,COUNTIF($Q$2:$Q202,1),"")</f>
        <v/>
      </c>
      <c r="S202" t="str">
        <f>IFERROR(INDEX(ClientInfo[Full Name], MATCH(ROWS($R$2:$R202),ClientInfo[frequency], 0)),"")</f>
        <v/>
      </c>
    </row>
    <row r="203" spans="1:19">
      <c r="A203" t="str">
        <f>TRIM(CONCATENATE(ClientInfo[[#This Row],[First Name]], " ",ClientInfo[[#This Row],[Last Name]]))</f>
        <v>Chris Violanti</v>
      </c>
      <c r="B203" t="s">
        <v>731</v>
      </c>
      <c r="C203" t="s">
        <v>1788</v>
      </c>
      <c r="F203" s="52">
        <v>4103189313</v>
      </c>
      <c r="H203" t="s">
        <v>1789</v>
      </c>
      <c r="O203" t="s">
        <v>1790</v>
      </c>
      <c r="Q203">
        <f>--ISNUMBER(SEARCH('RC Checklist'!$G$2,A203))</f>
        <v>0</v>
      </c>
      <c r="R203" t="str">
        <f>IF(Q203=1,COUNTIF($Q$2:$Q203,1),"")</f>
        <v/>
      </c>
      <c r="S203" t="str">
        <f>IFERROR(INDEX(ClientInfo[Full Name], MATCH(ROWS($R$2:$R203),ClientInfo[frequency], 0)),"")</f>
        <v/>
      </c>
    </row>
    <row r="204" spans="1:19">
      <c r="A204" t="str">
        <f>TRIM(CONCATENATE(ClientInfo[[#This Row],[First Name]], " ",ClientInfo[[#This Row],[Last Name]]))</f>
        <v>Chrisropher</v>
      </c>
      <c r="B204" t="s">
        <v>1976</v>
      </c>
      <c r="D204" t="s">
        <v>1977</v>
      </c>
      <c r="Q204">
        <f>--ISNUMBER(SEARCH('RC Checklist'!$G$2,A204))</f>
        <v>0</v>
      </c>
      <c r="R204" t="str">
        <f>IF(Q204=1,COUNTIF($Q$2:$Q204,1),"")</f>
        <v/>
      </c>
      <c r="S204" t="str">
        <f>IFERROR(INDEX(ClientInfo[Full Name], MATCH(ROWS($R$2:$R204),ClientInfo[frequency], 0)),"")</f>
        <v/>
      </c>
    </row>
    <row r="205" spans="1:19">
      <c r="A205" t="str">
        <f>TRIM(CONCATENATE(ClientInfo[[#This Row],[First Name]], " ",ClientInfo[[#This Row],[Last Name]]))</f>
        <v>Christina Doty</v>
      </c>
      <c r="B205" t="s">
        <v>1609</v>
      </c>
      <c r="C205" t="s">
        <v>1610</v>
      </c>
      <c r="F205" s="52" t="s">
        <v>1611</v>
      </c>
      <c r="O205" t="s">
        <v>1612</v>
      </c>
      <c r="Q205">
        <f>--ISNUMBER(SEARCH('RC Checklist'!$G$2,A205))</f>
        <v>0</v>
      </c>
      <c r="R205" t="str">
        <f>IF(Q205=1,COUNTIF($Q$2:$Q205,1),"")</f>
        <v/>
      </c>
      <c r="S205" t="str">
        <f>IFERROR(INDEX(ClientInfo[Full Name], MATCH(ROWS($R$2:$R205),ClientInfo[frequency], 0)),"")</f>
        <v/>
      </c>
    </row>
    <row r="206" spans="1:19">
      <c r="A206" t="str">
        <f>TRIM(CONCATENATE(ClientInfo[[#This Row],[First Name]], " ",ClientInfo[[#This Row],[Last Name]]))</f>
        <v>Christine</v>
      </c>
      <c r="B206" t="s">
        <v>1959</v>
      </c>
      <c r="F206" s="52" t="s">
        <v>1960</v>
      </c>
      <c r="Q206">
        <f>--ISNUMBER(SEARCH('RC Checklist'!$G$2,A206))</f>
        <v>0</v>
      </c>
      <c r="R206" t="str">
        <f>IF(Q206=1,COUNTIF($Q$2:$Q206,1),"")</f>
        <v/>
      </c>
      <c r="S206" t="str">
        <f>IFERROR(INDEX(ClientInfo[Full Name], MATCH(ROWS($R$2:$R206),ClientInfo[frequency], 0)),"")</f>
        <v/>
      </c>
    </row>
    <row r="207" spans="1:19">
      <c r="A207" t="str">
        <f>TRIM(CONCATENATE(ClientInfo[[#This Row],[First Name]], " ",ClientInfo[[#This Row],[Last Name]]))</f>
        <v>Christine Geravsio</v>
      </c>
      <c r="B207" t="s">
        <v>1959</v>
      </c>
      <c r="C207" t="s">
        <v>2727</v>
      </c>
      <c r="D207" t="s">
        <v>2728</v>
      </c>
      <c r="F207" s="52" t="s">
        <v>2729</v>
      </c>
      <c r="H207" t="s">
        <v>2730</v>
      </c>
      <c r="O207" t="s">
        <v>2731</v>
      </c>
      <c r="Q207">
        <f>--ISNUMBER(SEARCH('RC Checklist'!$G$2,A207))</f>
        <v>0</v>
      </c>
      <c r="R207" t="str">
        <f>IF(Q207=1,COUNTIF($Q$2:$Q207,1),"")</f>
        <v/>
      </c>
      <c r="S207" t="str">
        <f>IFERROR(INDEX(ClientInfo[Full Name], MATCH(ROWS($R$2:$R207),ClientInfo[frequency], 0)),"")</f>
        <v/>
      </c>
    </row>
    <row r="208" spans="1:19">
      <c r="A208" t="str">
        <f>TRIM(CONCATENATE(ClientInfo[[#This Row],[First Name]], " ",ClientInfo[[#This Row],[Last Name]]))</f>
        <v>Christopher "CJ" Miller</v>
      </c>
      <c r="B208" t="s">
        <v>2131</v>
      </c>
      <c r="C208" t="s">
        <v>1426</v>
      </c>
      <c r="F208" s="52" t="s">
        <v>2132</v>
      </c>
      <c r="H208" t="s">
        <v>2133</v>
      </c>
      <c r="Q208">
        <f>--ISNUMBER(SEARCH('RC Checklist'!$G$2,A208))</f>
        <v>0</v>
      </c>
      <c r="R208" t="str">
        <f>IF(Q208=1,COUNTIF($Q$2:$Q208,1),"")</f>
        <v/>
      </c>
      <c r="S208" t="str">
        <f>IFERROR(INDEX(ClientInfo[Full Name], MATCH(ROWS($R$2:$R208),ClientInfo[frequency], 0)),"")</f>
        <v/>
      </c>
    </row>
    <row r="209" spans="1:19">
      <c r="A209" t="str">
        <f>TRIM(CONCATENATE(ClientInfo[[#This Row],[First Name]], " ",ClientInfo[[#This Row],[Last Name]]))</f>
        <v>Christopher Buckner</v>
      </c>
      <c r="B209" t="s">
        <v>2616</v>
      </c>
      <c r="C209" t="s">
        <v>2617</v>
      </c>
      <c r="D209" t="s">
        <v>2618</v>
      </c>
      <c r="E209" t="s">
        <v>2619</v>
      </c>
      <c r="F209" s="52">
        <v>4109148225</v>
      </c>
      <c r="G209" s="52">
        <v>4106541720</v>
      </c>
      <c r="H209" t="s">
        <v>2620</v>
      </c>
      <c r="O209" t="s">
        <v>2621</v>
      </c>
      <c r="Q209">
        <f>--ISNUMBER(SEARCH('RC Checklist'!$G$2,A209))</f>
        <v>0</v>
      </c>
      <c r="R209" t="str">
        <f>IF(Q209=1,COUNTIF($Q$2:$Q209,1),"")</f>
        <v/>
      </c>
      <c r="S209" t="str">
        <f>IFERROR(INDEX(ClientInfo[Full Name], MATCH(ROWS($R$2:$R209),ClientInfo[frequency], 0)),"")</f>
        <v/>
      </c>
    </row>
    <row r="210" spans="1:19">
      <c r="A210" t="str">
        <f>TRIM(CONCATENATE(ClientInfo[[#This Row],[First Name]], " ",ClientInfo[[#This Row],[Last Name]]))</f>
        <v>Chuck Phillips</v>
      </c>
      <c r="B210" t="s">
        <v>669</v>
      </c>
      <c r="C210" t="s">
        <v>670</v>
      </c>
      <c r="D210" t="s">
        <v>671</v>
      </c>
      <c r="F210" s="52" t="s">
        <v>672</v>
      </c>
      <c r="G210" s="52" t="s">
        <v>673</v>
      </c>
      <c r="H210" t="s">
        <v>674</v>
      </c>
      <c r="O210" t="s">
        <v>675</v>
      </c>
      <c r="Q210">
        <f>--ISNUMBER(SEARCH('RC Checklist'!$G$2,A210))</f>
        <v>0</v>
      </c>
      <c r="R210" t="str">
        <f>IF(Q210=1,COUNTIF($Q$2:$Q210,1),"")</f>
        <v/>
      </c>
      <c r="S210" t="str">
        <f>IFERROR(INDEX(ClientInfo[Full Name], MATCH(ROWS($R$2:$R210),ClientInfo[frequency], 0)),"")</f>
        <v/>
      </c>
    </row>
    <row r="211" spans="1:19">
      <c r="A211" t="str">
        <f>TRIM(CONCATENATE(ClientInfo[[#This Row],[First Name]], " ",ClientInfo[[#This Row],[Last Name]]))</f>
        <v>Cinder And Concrete</v>
      </c>
      <c r="B211" t="s">
        <v>835</v>
      </c>
      <c r="D211" t="s">
        <v>835</v>
      </c>
      <c r="F211" s="52" t="s">
        <v>2393</v>
      </c>
      <c r="Q211">
        <f>--ISNUMBER(SEARCH('RC Checklist'!$G$2,A211))</f>
        <v>0</v>
      </c>
      <c r="R211" t="str">
        <f>IF(Q211=1,COUNTIF($Q$2:$Q211,1),"")</f>
        <v/>
      </c>
      <c r="S211" t="str">
        <f>IFERROR(INDEX(ClientInfo[Full Name], MATCH(ROWS($R$2:$R211),ClientInfo[frequency], 0)),"")</f>
        <v/>
      </c>
    </row>
    <row r="212" spans="1:19">
      <c r="A212" t="str">
        <f>TRIM(CONCATENATE(ClientInfo[[#This Row],[First Name]], " ",ClientInfo[[#This Row],[Last Name]]))</f>
        <v>Cindy Bathory</v>
      </c>
      <c r="B212" t="s">
        <v>2258</v>
      </c>
      <c r="C212" t="s">
        <v>2641</v>
      </c>
      <c r="F212" s="52" t="s">
        <v>2642</v>
      </c>
      <c r="O212" t="s">
        <v>2643</v>
      </c>
      <c r="Q212">
        <f>--ISNUMBER(SEARCH('RC Checklist'!$G$2,A212))</f>
        <v>0</v>
      </c>
      <c r="R212" t="str">
        <f>IF(Q212=1,COUNTIF($Q$2:$Q212,1),"")</f>
        <v/>
      </c>
      <c r="S212" t="str">
        <f>IFERROR(INDEX(ClientInfo[Full Name], MATCH(ROWS($R$2:$R212),ClientInfo[frequency], 0)),"")</f>
        <v/>
      </c>
    </row>
    <row r="213" spans="1:19">
      <c r="A213" t="str">
        <f>TRIM(CONCATENATE(ClientInfo[[#This Row],[First Name]], " ",ClientInfo[[#This Row],[Last Name]]))</f>
        <v>Cindy Whitman</v>
      </c>
      <c r="B213" t="s">
        <v>2258</v>
      </c>
      <c r="C213" t="s">
        <v>2259</v>
      </c>
      <c r="F213" s="52" t="s">
        <v>2260</v>
      </c>
      <c r="H213" t="s">
        <v>2261</v>
      </c>
      <c r="Q213">
        <f>--ISNUMBER(SEARCH('RC Checklist'!$G$2,A213))</f>
        <v>0</v>
      </c>
      <c r="R213" t="str">
        <f>IF(Q213=1,COUNTIF($Q$2:$Q213,1),"")</f>
        <v/>
      </c>
      <c r="S213" t="str">
        <f>IFERROR(INDEX(ClientInfo[Full Name], MATCH(ROWS($R$2:$R213),ClientInfo[frequency], 0)),"")</f>
        <v/>
      </c>
    </row>
    <row r="214" spans="1:19">
      <c r="A214" t="str">
        <f>TRIM(CONCATENATE(ClientInfo[[#This Row],[First Name]], " ",ClientInfo[[#This Row],[Last Name]]))</f>
        <v>Cleon Grove</v>
      </c>
      <c r="B214" t="s">
        <v>573</v>
      </c>
      <c r="C214" t="s">
        <v>574</v>
      </c>
      <c r="E214" t="s">
        <v>575</v>
      </c>
      <c r="F214" s="52">
        <v>7.1739753883978E+16</v>
      </c>
      <c r="H214" t="s">
        <v>576</v>
      </c>
      <c r="O214" t="s">
        <v>577</v>
      </c>
      <c r="Q214">
        <f>--ISNUMBER(SEARCH('RC Checklist'!$G$2,A214))</f>
        <v>0</v>
      </c>
      <c r="R214" t="str">
        <f>IF(Q214=1,COUNTIF($Q$2:$Q214,1),"")</f>
        <v/>
      </c>
      <c r="S214" t="str">
        <f>IFERROR(INDEX(ClientInfo[Full Name], MATCH(ROWS($R$2:$R214),ClientInfo[frequency], 0)),"")</f>
        <v/>
      </c>
    </row>
    <row r="215" spans="1:19">
      <c r="A215" t="str">
        <f>TRIM(CONCATENATE(ClientInfo[[#This Row],[First Name]], " ",ClientInfo[[#This Row],[Last Name]]))</f>
        <v>Coach Tobias</v>
      </c>
      <c r="B215" t="s">
        <v>2324</v>
      </c>
      <c r="C215" t="s">
        <v>2325</v>
      </c>
      <c r="F215" s="52">
        <v>14104408296</v>
      </c>
      <c r="Q215">
        <f>--ISNUMBER(SEARCH('RC Checklist'!$G$2,A215))</f>
        <v>0</v>
      </c>
      <c r="R215" t="str">
        <f>IF(Q215=1,COUNTIF($Q$2:$Q215,1),"")</f>
        <v/>
      </c>
      <c r="S215" t="str">
        <f>IFERROR(INDEX(ClientInfo[Full Name], MATCH(ROWS($R$2:$R215),ClientInfo[frequency], 0)),"")</f>
        <v/>
      </c>
    </row>
    <row r="216" spans="1:19">
      <c r="A216" t="str">
        <f>TRIM(CONCATENATE(ClientInfo[[#This Row],[First Name]], " ",ClientInfo[[#This Row],[Last Name]]))</f>
        <v>Coalfire</v>
      </c>
      <c r="B216" t="s">
        <v>611</v>
      </c>
      <c r="D216" t="s">
        <v>611</v>
      </c>
      <c r="F216" s="52" t="s">
        <v>612</v>
      </c>
      <c r="Q216">
        <f>--ISNUMBER(SEARCH('RC Checklist'!$G$2,A216))</f>
        <v>0</v>
      </c>
      <c r="R216" t="str">
        <f>IF(Q216=1,COUNTIF($Q$2:$Q216,1),"")</f>
        <v/>
      </c>
      <c r="S216" t="str">
        <f>IFERROR(INDEX(ClientInfo[Full Name], MATCH(ROWS($R$2:$R216),ClientInfo[frequency], 0)),"")</f>
        <v/>
      </c>
    </row>
    <row r="217" spans="1:19">
      <c r="A217" t="str">
        <f>TRIM(CONCATENATE(ClientInfo[[#This Row],[First Name]], " ",ClientInfo[[#This Row],[Last Name]]))</f>
        <v>Colleen</v>
      </c>
      <c r="B217" t="s">
        <v>1517</v>
      </c>
      <c r="D217" t="s">
        <v>2704</v>
      </c>
      <c r="F217" s="52">
        <v>4102369949</v>
      </c>
      <c r="Q217">
        <f>--ISNUMBER(SEARCH('RC Checklist'!$G$2,A217))</f>
        <v>0</v>
      </c>
      <c r="R217" t="str">
        <f>IF(Q217=1,COUNTIF($Q$2:$Q217,1),"")</f>
        <v/>
      </c>
      <c r="S217" t="str">
        <f>IFERROR(INDEX(ClientInfo[Full Name], MATCH(ROWS($R$2:$R217),ClientInfo[frequency], 0)),"")</f>
        <v/>
      </c>
    </row>
    <row r="218" spans="1:19">
      <c r="A218" t="str">
        <f>TRIM(CONCATENATE(ClientInfo[[#This Row],[First Name]], " ",ClientInfo[[#This Row],[Last Name]]))</f>
        <v>Colleen Grossman</v>
      </c>
      <c r="B218" t="s">
        <v>1517</v>
      </c>
      <c r="C218" t="s">
        <v>1518</v>
      </c>
      <c r="H218" t="s">
        <v>1519</v>
      </c>
      <c r="Q218">
        <f>--ISNUMBER(SEARCH('RC Checklist'!$G$2,A218))</f>
        <v>0</v>
      </c>
      <c r="R218" t="str">
        <f>IF(Q218=1,COUNTIF($Q$2:$Q218,1),"")</f>
        <v/>
      </c>
      <c r="S218" t="str">
        <f>IFERROR(INDEX(ClientInfo[Full Name], MATCH(ROWS($R$2:$R218),ClientInfo[frequency], 0)),"")</f>
        <v/>
      </c>
    </row>
    <row r="219" spans="1:19">
      <c r="A219" t="str">
        <f>TRIM(CONCATENATE(ClientInfo[[#This Row],[First Name]], " ",ClientInfo[[#This Row],[Last Name]]))</f>
        <v>Cosima</v>
      </c>
      <c r="B219" t="s">
        <v>519</v>
      </c>
      <c r="D219" t="s">
        <v>519</v>
      </c>
      <c r="F219" s="52" t="s">
        <v>520</v>
      </c>
      <c r="O219" t="s">
        <v>521</v>
      </c>
      <c r="Q219">
        <f>--ISNUMBER(SEARCH('RC Checklist'!$G$2,A219))</f>
        <v>0</v>
      </c>
      <c r="R219" t="str">
        <f>IF(Q219=1,COUNTIF($Q$2:$Q219,1),"")</f>
        <v/>
      </c>
      <c r="S219" t="str">
        <f>IFERROR(INDEX(ClientInfo[Full Name], MATCH(ROWS($R$2:$R219),ClientInfo[frequency], 0)),"")</f>
        <v/>
      </c>
    </row>
    <row r="220" spans="1:19">
      <c r="A220" t="str">
        <f>TRIM(CONCATENATE(ClientInfo[[#This Row],[First Name]], " ",ClientInfo[[#This Row],[Last Name]]))</f>
        <v>Courtland Hearth</v>
      </c>
      <c r="B220" t="s">
        <v>2274</v>
      </c>
      <c r="D220" t="s">
        <v>2274</v>
      </c>
      <c r="F220" s="52" t="s">
        <v>2275</v>
      </c>
      <c r="Q220">
        <f>--ISNUMBER(SEARCH('RC Checklist'!$G$2,A220))</f>
        <v>0</v>
      </c>
      <c r="R220" t="str">
        <f>IF(Q220=1,COUNTIF($Q$2:$Q220,1),"")</f>
        <v/>
      </c>
      <c r="S220" t="str">
        <f>IFERROR(INDEX(ClientInfo[Full Name], MATCH(ROWS($R$2:$R220),ClientInfo[frequency], 0)),"")</f>
        <v/>
      </c>
    </row>
    <row r="221" spans="1:19">
      <c r="A221" t="str">
        <f>TRIM(CONCATENATE(ClientInfo[[#This Row],[First Name]], " ",ClientInfo[[#This Row],[Last Name]]))</f>
        <v>Courtney Haviland</v>
      </c>
      <c r="B221" t="s">
        <v>1462</v>
      </c>
      <c r="C221" t="s">
        <v>467</v>
      </c>
      <c r="F221" s="52">
        <v>14107398220</v>
      </c>
      <c r="Q221">
        <f>--ISNUMBER(SEARCH('RC Checklist'!$G$2,A221))</f>
        <v>0</v>
      </c>
      <c r="R221" t="str">
        <f>IF(Q221=1,COUNTIF($Q$2:$Q221,1),"")</f>
        <v/>
      </c>
      <c r="S221" t="str">
        <f>IFERROR(INDEX(ClientInfo[Full Name], MATCH(ROWS($R$2:$R221),ClientInfo[frequency], 0)),"")</f>
        <v/>
      </c>
    </row>
    <row r="222" spans="1:19">
      <c r="A222" t="str">
        <f>TRIM(CONCATENATE(ClientInfo[[#This Row],[First Name]], " ",ClientInfo[[#This Row],[Last Name]]))</f>
        <v>Craig</v>
      </c>
      <c r="B222" t="s">
        <v>176</v>
      </c>
      <c r="D222" t="s">
        <v>736</v>
      </c>
      <c r="Q222">
        <f>--ISNUMBER(SEARCH('RC Checklist'!$G$2,A222))</f>
        <v>0</v>
      </c>
      <c r="R222" t="str">
        <f>IF(Q222=1,COUNTIF($Q$2:$Q222,1),"")</f>
        <v/>
      </c>
      <c r="S222" t="str">
        <f>IFERROR(INDEX(ClientInfo[Full Name], MATCH(ROWS($R$2:$R222),ClientInfo[frequency], 0)),"")</f>
        <v/>
      </c>
    </row>
    <row r="223" spans="1:19">
      <c r="A223" t="str">
        <f>TRIM(CONCATENATE(ClientInfo[[#This Row],[First Name]], " ",ClientInfo[[#This Row],[Last Name]]))</f>
        <v>Craig &amp; Brenda English</v>
      </c>
      <c r="B223" t="s">
        <v>1470</v>
      </c>
      <c r="C223" t="s">
        <v>1471</v>
      </c>
      <c r="Q223">
        <f>--ISNUMBER(SEARCH('RC Checklist'!$G$2,A223))</f>
        <v>0</v>
      </c>
      <c r="R223" t="str">
        <f>IF(Q223=1,COUNTIF($Q$2:$Q223,1),"")</f>
        <v/>
      </c>
      <c r="S223" t="str">
        <f>IFERROR(INDEX(ClientInfo[Full Name], MATCH(ROWS($R$2:$R223),ClientInfo[frequency], 0)),"")</f>
        <v/>
      </c>
    </row>
    <row r="224" spans="1:19">
      <c r="A224" t="str">
        <f>TRIM(CONCATENATE(ClientInfo[[#This Row],[First Name]], " ",ClientInfo[[#This Row],[Last Name]]))</f>
        <v>Craig Linehan</v>
      </c>
      <c r="B224" t="s">
        <v>176</v>
      </c>
      <c r="C224" t="s">
        <v>177</v>
      </c>
      <c r="D224" t="s">
        <v>178</v>
      </c>
      <c r="E224" t="s">
        <v>179</v>
      </c>
      <c r="F224" s="52">
        <v>4438206817</v>
      </c>
      <c r="G224" s="52">
        <v>3013099600</v>
      </c>
      <c r="H224" t="s">
        <v>180</v>
      </c>
      <c r="O224" t="s">
        <v>181</v>
      </c>
      <c r="Q224">
        <f>--ISNUMBER(SEARCH('RC Checklist'!$G$2,A224))</f>
        <v>0</v>
      </c>
      <c r="R224" t="str">
        <f>IF(Q224=1,COUNTIF($Q$2:$Q224,1),"")</f>
        <v/>
      </c>
      <c r="S224" t="str">
        <f>IFERROR(INDEX(ClientInfo[Full Name], MATCH(ROWS($R$2:$R224),ClientInfo[frequency], 0)),"")</f>
        <v/>
      </c>
    </row>
    <row r="225" spans="1:19">
      <c r="A225" t="str">
        <f>TRIM(CONCATENATE(ClientInfo[[#This Row],[First Name]], " ",ClientInfo[[#This Row],[Last Name]]))</f>
        <v>Crazy Rays</v>
      </c>
      <c r="B225" t="s">
        <v>297</v>
      </c>
      <c r="F225" s="52">
        <v>4104886650</v>
      </c>
      <c r="Q225">
        <f>--ISNUMBER(SEARCH('RC Checklist'!$G$2,A225))</f>
        <v>0</v>
      </c>
      <c r="R225" t="str">
        <f>IF(Q225=1,COUNTIF($Q$2:$Q225,1),"")</f>
        <v/>
      </c>
      <c r="S225" t="str">
        <f>IFERROR(INDEX(ClientInfo[Full Name], MATCH(ROWS($R$2:$R225),ClientInfo[frequency], 0)),"")</f>
        <v/>
      </c>
    </row>
    <row r="226" spans="1:19">
      <c r="A226" t="str">
        <f>TRIM(CONCATENATE(ClientInfo[[#This Row],[First Name]], " ",ClientInfo[[#This Row],[Last Name]]))</f>
        <v>Cristine East</v>
      </c>
      <c r="B226" t="s">
        <v>316</v>
      </c>
      <c r="C226" t="s">
        <v>317</v>
      </c>
      <c r="F226" s="52">
        <v>4105323705</v>
      </c>
      <c r="Q226">
        <f>--ISNUMBER(SEARCH('RC Checklist'!$G$2,A226))</f>
        <v>0</v>
      </c>
      <c r="R226" t="str">
        <f>IF(Q226=1,COUNTIF($Q$2:$Q226,1),"")</f>
        <v/>
      </c>
      <c r="S226" t="str">
        <f>IFERROR(INDEX(ClientInfo[Full Name], MATCH(ROWS($R$2:$R226),ClientInfo[frequency], 0)),"")</f>
        <v/>
      </c>
    </row>
    <row r="227" spans="1:19">
      <c r="A227" t="str">
        <f>TRIM(CONCATENATE(ClientInfo[[#This Row],[First Name]], " ",ClientInfo[[#This Row],[Last Name]]))</f>
        <v>Cub Scour Store</v>
      </c>
      <c r="B227" t="s">
        <v>1508</v>
      </c>
      <c r="D227" t="s">
        <v>1508</v>
      </c>
      <c r="F227" s="52" t="s">
        <v>1509</v>
      </c>
      <c r="Q227">
        <f>--ISNUMBER(SEARCH('RC Checklist'!$G$2,A227))</f>
        <v>0</v>
      </c>
      <c r="R227" t="str">
        <f>IF(Q227=1,COUNTIF($Q$2:$Q227,1),"")</f>
        <v/>
      </c>
      <c r="S227" t="str">
        <f>IFERROR(INDEX(ClientInfo[Full Name], MATCH(ROWS($R$2:$R227),ClientInfo[frequency], 0)),"")</f>
        <v/>
      </c>
    </row>
    <row r="228" spans="1:19">
      <c r="A228" t="str">
        <f>TRIM(CONCATENATE(ClientInfo[[#This Row],[First Name]], " ",ClientInfo[[#This Row],[Last Name]]))</f>
        <v>Cullen Davis</v>
      </c>
      <c r="B228" t="s">
        <v>1562</v>
      </c>
      <c r="C228" t="s">
        <v>602</v>
      </c>
      <c r="D228" t="s">
        <v>1563</v>
      </c>
      <c r="F228" s="52">
        <v>4104568670</v>
      </c>
      <c r="Q228">
        <f>--ISNUMBER(SEARCH('RC Checklist'!$G$2,A228))</f>
        <v>0</v>
      </c>
      <c r="R228" t="str">
        <f>IF(Q228=1,COUNTIF($Q$2:$Q228,1),"")</f>
        <v/>
      </c>
      <c r="S228" t="str">
        <f>IFERROR(INDEX(ClientInfo[Full Name], MATCH(ROWS($R$2:$R228),ClientInfo[frequency], 0)),"")</f>
        <v/>
      </c>
    </row>
    <row r="229" spans="1:19">
      <c r="A229" t="str">
        <f>TRIM(CONCATENATE(ClientInfo[[#This Row],[First Name]], " ",ClientInfo[[#This Row],[Last Name]]))</f>
        <v>Curt Andrews</v>
      </c>
      <c r="B229" t="s">
        <v>1867</v>
      </c>
      <c r="C229" t="s">
        <v>1868</v>
      </c>
      <c r="F229" s="52" t="s">
        <v>1869</v>
      </c>
      <c r="H229" t="s">
        <v>1870</v>
      </c>
      <c r="O229" t="s">
        <v>1871</v>
      </c>
      <c r="Q229">
        <f>--ISNUMBER(SEARCH('RC Checklist'!$G$2,A229))</f>
        <v>0</v>
      </c>
      <c r="R229" t="str">
        <f>IF(Q229=1,COUNTIF($Q$2:$Q229,1),"")</f>
        <v/>
      </c>
      <c r="S229" t="str">
        <f>IFERROR(INDEX(ClientInfo[Full Name], MATCH(ROWS($R$2:$R229),ClientInfo[frequency], 0)),"")</f>
        <v/>
      </c>
    </row>
    <row r="230" spans="1:19">
      <c r="A230" t="str">
        <f>TRIM(CONCATENATE(ClientInfo[[#This Row],[First Name]], " ",ClientInfo[[#This Row],[Last Name]]))</f>
        <v>Curt Vinyard</v>
      </c>
      <c r="B230" t="s">
        <v>1867</v>
      </c>
      <c r="C230" t="s">
        <v>2681</v>
      </c>
      <c r="F230" s="52">
        <v>4432530889</v>
      </c>
      <c r="Q230">
        <f>--ISNUMBER(SEARCH('RC Checklist'!$G$2,A230))</f>
        <v>0</v>
      </c>
      <c r="R230" t="str">
        <f>IF(Q230=1,COUNTIF($Q$2:$Q230,1),"")</f>
        <v/>
      </c>
      <c r="S230" t="str">
        <f>IFERROR(INDEX(ClientInfo[Full Name], MATCH(ROWS($R$2:$R230),ClientInfo[frequency], 0)),"")</f>
        <v/>
      </c>
    </row>
    <row r="231" spans="1:19">
      <c r="A231" t="str">
        <f>TRIM(CONCATENATE(ClientInfo[[#This Row],[First Name]], " ",ClientInfo[[#This Row],[Last Name]]))</f>
        <v>Curtis Boswell</v>
      </c>
      <c r="B231" t="s">
        <v>509</v>
      </c>
      <c r="C231" t="s">
        <v>2299</v>
      </c>
      <c r="D231" t="s">
        <v>1859</v>
      </c>
      <c r="Q231">
        <f>--ISNUMBER(SEARCH('RC Checklist'!$G$2,A231))</f>
        <v>0</v>
      </c>
      <c r="R231" t="str">
        <f>IF(Q231=1,COUNTIF($Q$2:$Q231,1),"")</f>
        <v/>
      </c>
      <c r="S231" t="str">
        <f>IFERROR(INDEX(ClientInfo[Full Name], MATCH(ROWS($R$2:$R231),ClientInfo[frequency], 0)),"")</f>
        <v/>
      </c>
    </row>
    <row r="232" spans="1:19">
      <c r="A232" t="str">
        <f>TRIM(CONCATENATE(ClientInfo[[#This Row],[First Name]], " ",ClientInfo[[#This Row],[Last Name]]))</f>
        <v>Curtis detail work</v>
      </c>
      <c r="B232" t="s">
        <v>509</v>
      </c>
      <c r="C232" t="s">
        <v>2305</v>
      </c>
      <c r="F232" s="52">
        <v>4106637999</v>
      </c>
      <c r="Q232">
        <f>--ISNUMBER(SEARCH('RC Checklist'!$G$2,A232))</f>
        <v>0</v>
      </c>
      <c r="R232" t="str">
        <f>IF(Q232=1,COUNTIF($Q$2:$Q232,1),"")</f>
        <v/>
      </c>
      <c r="S232" t="str">
        <f>IFERROR(INDEX(ClientInfo[Full Name], MATCH(ROWS($R$2:$R232),ClientInfo[frequency], 0)),"")</f>
        <v/>
      </c>
    </row>
    <row r="233" spans="1:19">
      <c r="A233" t="str">
        <f>TRIM(CONCATENATE(ClientInfo[[#This Row],[First Name]], " ",ClientInfo[[#This Row],[Last Name]]))</f>
        <v>Customer Care</v>
      </c>
      <c r="B233" t="s">
        <v>1444</v>
      </c>
      <c r="C233" t="s">
        <v>1445</v>
      </c>
      <c r="F233" s="52">
        <v>18176984199</v>
      </c>
      <c r="Q233">
        <f>--ISNUMBER(SEARCH('RC Checklist'!$G$2,A233))</f>
        <v>0</v>
      </c>
      <c r="R233" t="str">
        <f>IF(Q233=1,COUNTIF($Q$2:$Q233,1),"")</f>
        <v/>
      </c>
      <c r="S233" t="str">
        <f>IFERROR(INDEX(ClientInfo[Full Name], MATCH(ROWS($R$2:$R233),ClientInfo[frequency], 0)),"")</f>
        <v/>
      </c>
    </row>
    <row r="234" spans="1:19">
      <c r="A234" t="str">
        <f>TRIM(CONCATENATE(ClientInfo[[#This Row],[First Name]], " ",ClientInfo[[#This Row],[Last Name]]))</f>
        <v>Cycle Guy Scott</v>
      </c>
      <c r="B234" t="s">
        <v>2226</v>
      </c>
      <c r="C234" t="s">
        <v>254</v>
      </c>
      <c r="F234" s="52" t="s">
        <v>2227</v>
      </c>
      <c r="Q234">
        <f>--ISNUMBER(SEARCH('RC Checklist'!$G$2,A234))</f>
        <v>0</v>
      </c>
      <c r="R234" t="str">
        <f>IF(Q234=1,COUNTIF($Q$2:$Q234,1),"")</f>
        <v/>
      </c>
      <c r="S234" t="str">
        <f>IFERROR(INDEX(ClientInfo[Full Name], MATCH(ROWS($R$2:$R234),ClientInfo[frequency], 0)),"")</f>
        <v/>
      </c>
    </row>
    <row r="235" spans="1:19">
      <c r="A235" t="str">
        <f>TRIM(CONCATENATE(ClientInfo[[#This Row],[First Name]], " ",ClientInfo[[#This Row],[Last Name]]))</f>
        <v>Cynthia Gavin</v>
      </c>
      <c r="B235" t="s">
        <v>443</v>
      </c>
      <c r="F235" s="52" t="s">
        <v>444</v>
      </c>
      <c r="G235" s="52" t="s">
        <v>445</v>
      </c>
      <c r="Q235">
        <f>--ISNUMBER(SEARCH('RC Checklist'!$G$2,A235))</f>
        <v>0</v>
      </c>
      <c r="R235" t="str">
        <f>IF(Q235=1,COUNTIF($Q$2:$Q235,1),"")</f>
        <v/>
      </c>
      <c r="S235" t="str">
        <f>IFERROR(INDEX(ClientInfo[Full Name], MATCH(ROWS($R$2:$R235),ClientInfo[frequency], 0)),"")</f>
        <v/>
      </c>
    </row>
    <row r="236" spans="1:19">
      <c r="A236" t="str">
        <f>TRIM(CONCATENATE(ClientInfo[[#This Row],[First Name]], " ",ClientInfo[[#This Row],[Last Name]]))</f>
        <v>Dad</v>
      </c>
      <c r="B236" t="s">
        <v>1702</v>
      </c>
      <c r="F236" s="52" t="s">
        <v>1703</v>
      </c>
      <c r="Q236">
        <f>--ISNUMBER(SEARCH('RC Checklist'!$G$2,A236))</f>
        <v>0</v>
      </c>
      <c r="R236" t="str">
        <f>IF(Q236=1,COUNTIF($Q$2:$Q236,1),"")</f>
        <v/>
      </c>
      <c r="S236" t="str">
        <f>IFERROR(INDEX(ClientInfo[Full Name], MATCH(ROWS($R$2:$R236),ClientInfo[frequency], 0)),"")</f>
        <v/>
      </c>
    </row>
    <row r="237" spans="1:19">
      <c r="A237" t="str">
        <f>TRIM(CONCATENATE(ClientInfo[[#This Row],[First Name]], " ",ClientInfo[[#This Row],[Last Name]]))</f>
        <v>Damion Dawn Roberts Mark</v>
      </c>
      <c r="B237" t="s">
        <v>1529</v>
      </c>
      <c r="C237" t="s">
        <v>1530</v>
      </c>
      <c r="F237" s="52">
        <v>4102621972</v>
      </c>
      <c r="Q237">
        <f>--ISNUMBER(SEARCH('RC Checklist'!$G$2,A237))</f>
        <v>0</v>
      </c>
      <c r="R237" t="str">
        <f>IF(Q237=1,COUNTIF($Q$2:$Q237,1),"")</f>
        <v/>
      </c>
      <c r="S237" t="str">
        <f>IFERROR(INDEX(ClientInfo[Full Name], MATCH(ROWS($R$2:$R237),ClientInfo[frequency], 0)),"")</f>
        <v/>
      </c>
    </row>
    <row r="238" spans="1:19">
      <c r="A238" t="str">
        <f>TRIM(CONCATENATE(ClientInfo[[#This Row],[First Name]], " ",ClientInfo[[#This Row],[Last Name]]))</f>
        <v>Damion Halsted</v>
      </c>
      <c r="B238" t="s">
        <v>2328</v>
      </c>
      <c r="C238" t="s">
        <v>2329</v>
      </c>
      <c r="F238" s="52">
        <v>4108767952</v>
      </c>
      <c r="G238" s="52">
        <v>4108762266</v>
      </c>
      <c r="H238" t="s">
        <v>2330</v>
      </c>
      <c r="O238" t="s">
        <v>2331</v>
      </c>
      <c r="Q238">
        <f>--ISNUMBER(SEARCH('RC Checklist'!$G$2,A238))</f>
        <v>0</v>
      </c>
      <c r="R238" t="str">
        <f>IF(Q238=1,COUNTIF($Q$2:$Q238,1),"")</f>
        <v/>
      </c>
      <c r="S238" t="str">
        <f>IFERROR(INDEX(ClientInfo[Full Name], MATCH(ROWS($R$2:$R238),ClientInfo[frequency], 0)),"")</f>
        <v/>
      </c>
    </row>
    <row r="239" spans="1:19">
      <c r="A239" t="str">
        <f>TRIM(CONCATENATE(ClientInfo[[#This Row],[First Name]], " ",ClientInfo[[#This Row],[Last Name]]))</f>
        <v>Dan</v>
      </c>
      <c r="B239" t="s">
        <v>452</v>
      </c>
      <c r="F239" s="52" t="s">
        <v>1618</v>
      </c>
      <c r="Q239">
        <f>--ISNUMBER(SEARCH('RC Checklist'!$G$2,A239))</f>
        <v>0</v>
      </c>
      <c r="R239" t="str">
        <f>IF(Q239=1,COUNTIF($Q$2:$Q239,1),"")</f>
        <v/>
      </c>
      <c r="S239" t="str">
        <f>IFERROR(INDEX(ClientInfo[Full Name], MATCH(ROWS($R$2:$R239),ClientInfo[frequency], 0)),"")</f>
        <v/>
      </c>
    </row>
    <row r="240" spans="1:19">
      <c r="A240" t="str">
        <f>TRIM(CONCATENATE(ClientInfo[[#This Row],[First Name]], " ",ClientInfo[[#This Row],[Last Name]]))</f>
        <v>Dan Beck</v>
      </c>
      <c r="B240" t="s">
        <v>452</v>
      </c>
      <c r="C240" t="s">
        <v>3007</v>
      </c>
      <c r="D240" t="s">
        <v>3008</v>
      </c>
      <c r="F240" s="52">
        <v>4562345433</v>
      </c>
      <c r="G240" s="52">
        <v>5558886875</v>
      </c>
      <c r="H240" s="21" t="s">
        <v>3009</v>
      </c>
      <c r="I240" t="s">
        <v>3010</v>
      </c>
      <c r="J240" t="s">
        <v>3011</v>
      </c>
      <c r="K240" t="s">
        <v>2989</v>
      </c>
      <c r="L240">
        <v>21157</v>
      </c>
      <c r="M240" s="132">
        <v>11</v>
      </c>
      <c r="Q240">
        <f>--ISNUMBER(SEARCH('RC Checklist'!$G$2,A240))</f>
        <v>0</v>
      </c>
      <c r="R240" t="str">
        <f>IF(Q240=1,COUNTIF($Q$2:$Q240,1),"")</f>
        <v/>
      </c>
      <c r="S240" t="str">
        <f>IFERROR(INDEX(ClientInfo[Full Name], MATCH(ROWS($R$2:$R240),ClientInfo[frequency], 0)),"")</f>
        <v/>
      </c>
    </row>
    <row r="241" spans="1:19">
      <c r="A241" t="str">
        <f>TRIM(CONCATENATE(ClientInfo[[#This Row],[First Name]], " ",ClientInfo[[#This Row],[Last Name]]))</f>
        <v>Dan Bohlen</v>
      </c>
      <c r="B241" t="s">
        <v>452</v>
      </c>
      <c r="C241" t="s">
        <v>453</v>
      </c>
      <c r="F241" s="52" t="s">
        <v>455</v>
      </c>
      <c r="G241" s="52" t="s">
        <v>454</v>
      </c>
      <c r="Q241">
        <f>--ISNUMBER(SEARCH('RC Checklist'!$G$2,A241))</f>
        <v>0</v>
      </c>
      <c r="R241" t="str">
        <f>IF(Q241=1,COUNTIF($Q$2:$Q241,1),"")</f>
        <v/>
      </c>
      <c r="S241" t="str">
        <f>IFERROR(INDEX(ClientInfo[Full Name], MATCH(ROWS($R$2:$R241),ClientInfo[frequency], 0)),"")</f>
        <v/>
      </c>
    </row>
    <row r="242" spans="1:19">
      <c r="A242" t="str">
        <f>TRIM(CONCATENATE(ClientInfo[[#This Row],[First Name]], " ",ClientInfo[[#This Row],[Last Name]]))</f>
        <v>Dan Dougherty</v>
      </c>
      <c r="B242" t="s">
        <v>452</v>
      </c>
      <c r="C242" t="s">
        <v>591</v>
      </c>
      <c r="Q242">
        <f>--ISNUMBER(SEARCH('RC Checklist'!$G$2,A242))</f>
        <v>0</v>
      </c>
      <c r="R242" t="str">
        <f>IF(Q242=1,COUNTIF($Q$2:$Q242,1),"")</f>
        <v/>
      </c>
      <c r="S242" t="str">
        <f>IFERROR(INDEX(ClientInfo[Full Name], MATCH(ROWS($R$2:$R242),ClientInfo[frequency], 0)),"")</f>
        <v/>
      </c>
    </row>
    <row r="243" spans="1:19">
      <c r="A243" t="str">
        <f>TRIM(CONCATENATE(ClientInfo[[#This Row],[First Name]], " ",ClientInfo[[#This Row],[Last Name]]))</f>
        <v>Dan Fuqua</v>
      </c>
      <c r="B243" t="s">
        <v>452</v>
      </c>
      <c r="C243" t="s">
        <v>1708</v>
      </c>
      <c r="D243" t="s">
        <v>1709</v>
      </c>
      <c r="Q243">
        <f>--ISNUMBER(SEARCH('RC Checklist'!$G$2,A243))</f>
        <v>0</v>
      </c>
      <c r="R243" t="str">
        <f>IF(Q243=1,COUNTIF($Q$2:$Q243,1),"")</f>
        <v/>
      </c>
      <c r="S243" t="str">
        <f>IFERROR(INDEX(ClientInfo[Full Name], MATCH(ROWS($R$2:$R243),ClientInfo[frequency], 0)),"")</f>
        <v/>
      </c>
    </row>
    <row r="244" spans="1:19">
      <c r="A244" t="str">
        <f>TRIM(CONCATENATE(ClientInfo[[#This Row],[First Name]], " ",ClientInfo[[#This Row],[Last Name]]))</f>
        <v>Dan Melefsky</v>
      </c>
      <c r="B244" t="s">
        <v>452</v>
      </c>
      <c r="C244" t="s">
        <v>2407</v>
      </c>
      <c r="D244" t="s">
        <v>2408</v>
      </c>
      <c r="Q244">
        <f>--ISNUMBER(SEARCH('RC Checklist'!$G$2,A244))</f>
        <v>0</v>
      </c>
      <c r="R244" t="str">
        <f>IF(Q244=1,COUNTIF($Q$2:$Q244,1),"")</f>
        <v/>
      </c>
      <c r="S244" t="str">
        <f>IFERROR(INDEX(ClientInfo[Full Name], MATCH(ROWS($R$2:$R244),ClientInfo[frequency], 0)),"")</f>
        <v/>
      </c>
    </row>
    <row r="245" spans="1:19">
      <c r="A245" t="str">
        <f>TRIM(CONCATENATE(ClientInfo[[#This Row],[First Name]], " ",ClientInfo[[#This Row],[Last Name]]))</f>
        <v>Daniel beyrodt</v>
      </c>
      <c r="B245" t="s">
        <v>230</v>
      </c>
      <c r="C245" t="s">
        <v>377</v>
      </c>
      <c r="F245" s="52">
        <v>4104047286</v>
      </c>
      <c r="Q245">
        <f>--ISNUMBER(SEARCH('RC Checklist'!$G$2,A245))</f>
        <v>0</v>
      </c>
      <c r="R245" t="str">
        <f>IF(Q245=1,COUNTIF($Q$2:$Q245,1),"")</f>
        <v/>
      </c>
      <c r="S245" t="str">
        <f>IFERROR(INDEX(ClientInfo[Full Name], MATCH(ROWS($R$2:$R245),ClientInfo[frequency], 0)),"")</f>
        <v/>
      </c>
    </row>
    <row r="246" spans="1:19">
      <c r="A246" t="str">
        <f>TRIM(CONCATENATE(ClientInfo[[#This Row],[First Name]], " ",ClientInfo[[#This Row],[Last Name]]))</f>
        <v>Daniel J. Esser</v>
      </c>
      <c r="B246" t="s">
        <v>124</v>
      </c>
      <c r="C246" t="s">
        <v>125</v>
      </c>
      <c r="E246" t="s">
        <v>126</v>
      </c>
      <c r="F246" s="52">
        <v>4108872762</v>
      </c>
      <c r="H246" t="s">
        <v>127</v>
      </c>
      <c r="O246" t="s">
        <v>2963</v>
      </c>
      <c r="Q246">
        <f>--ISNUMBER(SEARCH('RC Checklist'!$G$2,A246))</f>
        <v>0</v>
      </c>
      <c r="R246" t="str">
        <f>IF(Q246=1,COUNTIF($Q$2:$Q246,1),"")</f>
        <v/>
      </c>
      <c r="S246" t="str">
        <f>IFERROR(INDEX(ClientInfo[Full Name], MATCH(ROWS($R$2:$R246),ClientInfo[frequency], 0)),"")</f>
        <v/>
      </c>
    </row>
    <row r="247" spans="1:19">
      <c r="A247" t="str">
        <f>TRIM(CONCATENATE(ClientInfo[[#This Row],[First Name]], " ",ClientInfo[[#This Row],[Last Name]]))</f>
        <v>Daniel Schwandtner</v>
      </c>
      <c r="B247" t="s">
        <v>230</v>
      </c>
      <c r="C247" t="s">
        <v>2404</v>
      </c>
      <c r="O247" t="s">
        <v>2405</v>
      </c>
      <c r="P247" t="s">
        <v>2406</v>
      </c>
      <c r="Q247">
        <f>--ISNUMBER(SEARCH('RC Checklist'!$G$2,A247))</f>
        <v>0</v>
      </c>
      <c r="R247" t="str">
        <f>IF(Q247=1,COUNTIF($Q$2:$Q247,1),"")</f>
        <v/>
      </c>
      <c r="S247" t="str">
        <f>IFERROR(INDEX(ClientInfo[Full Name], MATCH(ROWS($R$2:$R247),ClientInfo[frequency], 0)),"")</f>
        <v/>
      </c>
    </row>
    <row r="248" spans="1:19">
      <c r="A248" t="str">
        <f>TRIM(CONCATENATE(ClientInfo[[#This Row],[First Name]], " ",ClientInfo[[#This Row],[Last Name]]))</f>
        <v>Daniel Todd</v>
      </c>
      <c r="B248" t="s">
        <v>768</v>
      </c>
      <c r="F248" s="52">
        <v>3013062400</v>
      </c>
      <c r="Q248">
        <f>--ISNUMBER(SEARCH('RC Checklist'!$G$2,A248))</f>
        <v>0</v>
      </c>
      <c r="R248" t="str">
        <f>IF(Q248=1,COUNTIF($Q$2:$Q248,1),"")</f>
        <v/>
      </c>
      <c r="S248" t="str">
        <f>IFERROR(INDEX(ClientInfo[Full Name], MATCH(ROWS($R$2:$R248),ClientInfo[frequency], 0)),"")</f>
        <v/>
      </c>
    </row>
    <row r="249" spans="1:19">
      <c r="A249" t="str">
        <f>TRIM(CONCATENATE(ClientInfo[[#This Row],[First Name]], " ",ClientInfo[[#This Row],[Last Name]]))</f>
        <v>Daniel Trazzi</v>
      </c>
      <c r="B249" t="s">
        <v>230</v>
      </c>
      <c r="C249" t="s">
        <v>231</v>
      </c>
      <c r="H249" t="s">
        <v>232</v>
      </c>
      <c r="Q249">
        <f>--ISNUMBER(SEARCH('RC Checklist'!$G$2,A249))</f>
        <v>0</v>
      </c>
      <c r="R249" t="str">
        <f>IF(Q249=1,COUNTIF($Q$2:$Q249,1),"")</f>
        <v/>
      </c>
      <c r="S249" t="str">
        <f>IFERROR(INDEX(ClientInfo[Full Name], MATCH(ROWS($R$2:$R249),ClientInfo[frequency], 0)),"")</f>
        <v/>
      </c>
    </row>
    <row r="250" spans="1:19">
      <c r="A250" t="str">
        <f>TRIM(CONCATENATE(ClientInfo[[#This Row],[First Name]], " ",ClientInfo[[#This Row],[Last Name]]))</f>
        <v>Daniella Leseur</v>
      </c>
      <c r="B250" t="s">
        <v>1242</v>
      </c>
      <c r="C250" t="s">
        <v>1243</v>
      </c>
      <c r="F250" s="52" t="s">
        <v>1244</v>
      </c>
      <c r="P250" t="s">
        <v>1245</v>
      </c>
      <c r="Q250">
        <f>--ISNUMBER(SEARCH('RC Checklist'!$G$2,A250))</f>
        <v>0</v>
      </c>
      <c r="R250" t="str">
        <f>IF(Q250=1,COUNTIF($Q$2:$Q250,1),"")</f>
        <v/>
      </c>
      <c r="S250" t="str">
        <f>IFERROR(INDEX(ClientInfo[Full Name], MATCH(ROWS($R$2:$R250),ClientInfo[frequency], 0)),"")</f>
        <v/>
      </c>
    </row>
    <row r="251" spans="1:19">
      <c r="A251" t="str">
        <f>TRIM(CONCATENATE(ClientInfo[[#This Row],[First Name]], " ",ClientInfo[[#This Row],[Last Name]]))</f>
        <v>Danielle Meneghello</v>
      </c>
      <c r="B251" t="s">
        <v>558</v>
      </c>
      <c r="C251" t="s">
        <v>559</v>
      </c>
      <c r="Q251">
        <f>--ISNUMBER(SEARCH('RC Checklist'!$G$2,A251))</f>
        <v>0</v>
      </c>
      <c r="R251" t="str">
        <f>IF(Q251=1,COUNTIF($Q$2:$Q251,1),"")</f>
        <v/>
      </c>
      <c r="S251" t="str">
        <f>IFERROR(INDEX(ClientInfo[Full Name], MATCH(ROWS($R$2:$R251),ClientInfo[frequency], 0)),"")</f>
        <v/>
      </c>
    </row>
    <row r="252" spans="1:19">
      <c r="A252" t="str">
        <f>TRIM(CONCATENATE(ClientInfo[[#This Row],[First Name]], " ",ClientInfo[[#This Row],[Last Name]]))</f>
        <v>Darcie Badami</v>
      </c>
      <c r="B252" t="s">
        <v>955</v>
      </c>
      <c r="C252" t="s">
        <v>956</v>
      </c>
      <c r="F252" s="52">
        <v>9372068050</v>
      </c>
      <c r="H252" t="s">
        <v>957</v>
      </c>
      <c r="Q252">
        <f>--ISNUMBER(SEARCH('RC Checklist'!$G$2,A252))</f>
        <v>0</v>
      </c>
      <c r="R252" t="str">
        <f>IF(Q252=1,COUNTIF($Q$2:$Q252,1),"")</f>
        <v/>
      </c>
      <c r="S252" t="str">
        <f>IFERROR(INDEX(ClientInfo[Full Name], MATCH(ROWS($R$2:$R252),ClientInfo[frequency], 0)),"")</f>
        <v/>
      </c>
    </row>
    <row r="253" spans="1:19">
      <c r="A253" t="str">
        <f>TRIM(CONCATENATE(ClientInfo[[#This Row],[First Name]], " ",ClientInfo[[#This Row],[Last Name]]))</f>
        <v>Darin Decker</v>
      </c>
      <c r="B253" t="s">
        <v>820</v>
      </c>
      <c r="C253" t="s">
        <v>821</v>
      </c>
      <c r="D253" t="s">
        <v>822</v>
      </c>
      <c r="F253" s="52" t="s">
        <v>823</v>
      </c>
      <c r="Q253">
        <f>--ISNUMBER(SEARCH('RC Checklist'!$G$2,A253))</f>
        <v>0</v>
      </c>
      <c r="R253" t="str">
        <f>IF(Q253=1,COUNTIF($Q$2:$Q253,1),"")</f>
        <v/>
      </c>
      <c r="S253" t="str">
        <f>IFERROR(INDEX(ClientInfo[Full Name], MATCH(ROWS($R$2:$R253),ClientInfo[frequency], 0)),"")</f>
        <v/>
      </c>
    </row>
    <row r="254" spans="1:19">
      <c r="A254" t="str">
        <f>TRIM(CONCATENATE(ClientInfo[[#This Row],[First Name]], " ",ClientInfo[[#This Row],[Last Name]]))</f>
        <v>Darlene Smith</v>
      </c>
      <c r="B254" t="s">
        <v>1146</v>
      </c>
      <c r="C254" t="s">
        <v>34</v>
      </c>
      <c r="F254" s="52" t="s">
        <v>1147</v>
      </c>
      <c r="O254" t="s">
        <v>1148</v>
      </c>
      <c r="Q254">
        <f>--ISNUMBER(SEARCH('RC Checklist'!$G$2,A254))</f>
        <v>0</v>
      </c>
      <c r="R254" t="str">
        <f>IF(Q254=1,COUNTIF($Q$2:$Q254,1),"")</f>
        <v/>
      </c>
      <c r="S254" t="str">
        <f>IFERROR(INDEX(ClientInfo[Full Name], MATCH(ROWS($R$2:$R254),ClientInfo[frequency], 0)),"")</f>
        <v/>
      </c>
    </row>
    <row r="255" spans="1:19">
      <c r="A255" t="str">
        <f>TRIM(CONCATENATE(ClientInfo[[#This Row],[First Name]], " ",ClientInfo[[#This Row],[Last Name]]))</f>
        <v>Darrel Gnau</v>
      </c>
      <c r="B255" t="s">
        <v>1700</v>
      </c>
      <c r="C255" t="s">
        <v>1701</v>
      </c>
      <c r="Q255">
        <f>--ISNUMBER(SEARCH('RC Checklist'!$G$2,A255))</f>
        <v>0</v>
      </c>
      <c r="R255" t="str">
        <f>IF(Q255=1,COUNTIF($Q$2:$Q255,1),"")</f>
        <v/>
      </c>
      <c r="S255" t="str">
        <f>IFERROR(INDEX(ClientInfo[Full Name], MATCH(ROWS($R$2:$R255),ClientInfo[frequency], 0)),"")</f>
        <v/>
      </c>
    </row>
    <row r="256" spans="1:19">
      <c r="A256" t="str">
        <f>TRIM(CONCATENATE(ClientInfo[[#This Row],[First Name]], " ",ClientInfo[[#This Row],[Last Name]]))</f>
        <v>Darryl &amp; Jenn Moulton</v>
      </c>
      <c r="B256" t="s">
        <v>2077</v>
      </c>
      <c r="C256" t="s">
        <v>1187</v>
      </c>
      <c r="F256" s="52" t="s">
        <v>2078</v>
      </c>
      <c r="O256" t="s">
        <v>2079</v>
      </c>
      <c r="P256" t="s">
        <v>2080</v>
      </c>
      <c r="Q256">
        <f>--ISNUMBER(SEARCH('RC Checklist'!$G$2,A256))</f>
        <v>0</v>
      </c>
      <c r="R256" t="str">
        <f>IF(Q256=1,COUNTIF($Q$2:$Q256,1),"")</f>
        <v/>
      </c>
      <c r="S256" t="str">
        <f>IFERROR(INDEX(ClientInfo[Full Name], MATCH(ROWS($R$2:$R256),ClientInfo[frequency], 0)),"")</f>
        <v/>
      </c>
    </row>
    <row r="257" spans="1:19">
      <c r="A257" t="str">
        <f>TRIM(CONCATENATE(ClientInfo[[#This Row],[First Name]], " ",ClientInfo[[#This Row],[Last Name]]))</f>
        <v>Darryl mason</v>
      </c>
      <c r="B257" t="s">
        <v>2437</v>
      </c>
      <c r="C257" t="s">
        <v>2438</v>
      </c>
      <c r="F257" s="52">
        <v>4434166971</v>
      </c>
      <c r="Q257">
        <f>--ISNUMBER(SEARCH('RC Checklist'!$G$2,A257))</f>
        <v>0</v>
      </c>
      <c r="R257" t="str">
        <f>IF(Q257=1,COUNTIF($Q$2:$Q257,1),"")</f>
        <v/>
      </c>
      <c r="S257" t="str">
        <f>IFERROR(INDEX(ClientInfo[Full Name], MATCH(ROWS($R$2:$R257),ClientInfo[frequency], 0)),"")</f>
        <v/>
      </c>
    </row>
    <row r="258" spans="1:19">
      <c r="A258" t="str">
        <f>TRIM(CONCATENATE(ClientInfo[[#This Row],[First Name]], " ",ClientInfo[[#This Row],[Last Name]]))</f>
        <v>Dave</v>
      </c>
      <c r="B258" t="s">
        <v>782</v>
      </c>
      <c r="Q258">
        <f>--ISNUMBER(SEARCH('RC Checklist'!$G$2,A258))</f>
        <v>0</v>
      </c>
      <c r="R258" t="str">
        <f>IF(Q258=1,COUNTIF($Q$2:$Q258,1),"")</f>
        <v/>
      </c>
      <c r="S258" t="str">
        <f>IFERROR(INDEX(ClientInfo[Full Name], MATCH(ROWS($R$2:$R258),ClientInfo[frequency], 0)),"")</f>
        <v/>
      </c>
    </row>
    <row r="259" spans="1:19">
      <c r="A259" t="str">
        <f>TRIM(CONCATENATE(ClientInfo[[#This Row],[First Name]], " ",ClientInfo[[#This Row],[Last Name]]))</f>
        <v>Dave Braun</v>
      </c>
      <c r="B259" t="s">
        <v>782</v>
      </c>
      <c r="C259" t="s">
        <v>783</v>
      </c>
      <c r="F259" s="52" t="s">
        <v>784</v>
      </c>
      <c r="Q259">
        <f>--ISNUMBER(SEARCH('RC Checklist'!$G$2,A259))</f>
        <v>0</v>
      </c>
      <c r="R259" t="str">
        <f>IF(Q259=1,COUNTIF($Q$2:$Q259,1),"")</f>
        <v/>
      </c>
      <c r="S259" t="str">
        <f>IFERROR(INDEX(ClientInfo[Full Name], MATCH(ROWS($R$2:$R259),ClientInfo[frequency], 0)),"")</f>
        <v/>
      </c>
    </row>
    <row r="260" spans="1:19">
      <c r="A260" t="str">
        <f>TRIM(CONCATENATE(ClientInfo[[#This Row],[First Name]], " ",ClientInfo[[#This Row],[Last Name]]))</f>
        <v>Dave Kelly</v>
      </c>
      <c r="B260" t="s">
        <v>782</v>
      </c>
      <c r="C260" t="s">
        <v>287</v>
      </c>
      <c r="D260" t="s">
        <v>1259</v>
      </c>
      <c r="F260" s="52" t="s">
        <v>1260</v>
      </c>
      <c r="G260" s="52">
        <v>4106926969</v>
      </c>
      <c r="Q260">
        <f>--ISNUMBER(SEARCH('RC Checklist'!$G$2,A260))</f>
        <v>0</v>
      </c>
      <c r="R260" t="str">
        <f>IF(Q260=1,COUNTIF($Q$2:$Q260,1),"")</f>
        <v/>
      </c>
      <c r="S260" t="str">
        <f>IFERROR(INDEX(ClientInfo[Full Name], MATCH(ROWS($R$2:$R260),ClientInfo[frequency], 0)),"")</f>
        <v/>
      </c>
    </row>
    <row r="261" spans="1:19">
      <c r="A261" t="str">
        <f>TRIM(CONCATENATE(ClientInfo[[#This Row],[First Name]], " ",ClientInfo[[#This Row],[Last Name]]))</f>
        <v>Dave Klaus</v>
      </c>
      <c r="B261" t="s">
        <v>782</v>
      </c>
      <c r="C261" t="s">
        <v>1663</v>
      </c>
      <c r="F261" s="52">
        <v>4108824059</v>
      </c>
      <c r="P261" t="s">
        <v>1664</v>
      </c>
      <c r="Q261">
        <f>--ISNUMBER(SEARCH('RC Checklist'!$G$2,A261))</f>
        <v>0</v>
      </c>
      <c r="R261" t="str">
        <f>IF(Q261=1,COUNTIF($Q$2:$Q261,1),"")</f>
        <v/>
      </c>
      <c r="S261" t="str">
        <f>IFERROR(INDEX(ClientInfo[Full Name], MATCH(ROWS($R$2:$R261),ClientInfo[frequency], 0)),"")</f>
        <v/>
      </c>
    </row>
    <row r="262" spans="1:19">
      <c r="A262" t="str">
        <f>TRIM(CONCATENATE(ClientInfo[[#This Row],[First Name]], " ",ClientInfo[[#This Row],[Last Name]]))</f>
        <v>Dave Mosley</v>
      </c>
      <c r="B262" t="s">
        <v>782</v>
      </c>
      <c r="C262" t="s">
        <v>1212</v>
      </c>
      <c r="F262" s="52">
        <v>9198189088</v>
      </c>
      <c r="Q262">
        <f>--ISNUMBER(SEARCH('RC Checklist'!$G$2,A262))</f>
        <v>0</v>
      </c>
      <c r="R262" t="str">
        <f>IF(Q262=1,COUNTIF($Q$2:$Q262,1),"")</f>
        <v/>
      </c>
      <c r="S262" t="str">
        <f>IFERROR(INDEX(ClientInfo[Full Name], MATCH(ROWS($R$2:$R262),ClientInfo[frequency], 0)),"")</f>
        <v/>
      </c>
    </row>
    <row r="263" spans="1:19">
      <c r="A263" t="str">
        <f>TRIM(CONCATENATE(ClientInfo[[#This Row],[First Name]], " ",ClientInfo[[#This Row],[Last Name]]))</f>
        <v>Dave Siltman</v>
      </c>
      <c r="B263" t="s">
        <v>782</v>
      </c>
      <c r="C263" t="s">
        <v>2466</v>
      </c>
      <c r="F263" s="52">
        <v>4102069427</v>
      </c>
      <c r="G263" s="52">
        <v>4104678800</v>
      </c>
      <c r="Q263">
        <f>--ISNUMBER(SEARCH('RC Checklist'!$G$2,A263))</f>
        <v>0</v>
      </c>
      <c r="R263" t="str">
        <f>IF(Q263=1,COUNTIF($Q$2:$Q263,1),"")</f>
        <v/>
      </c>
      <c r="S263" t="str">
        <f>IFERROR(INDEX(ClientInfo[Full Name], MATCH(ROWS($R$2:$R263),ClientInfo[frequency], 0)),"")</f>
        <v/>
      </c>
    </row>
    <row r="264" spans="1:19">
      <c r="A264" t="str">
        <f>TRIM(CONCATENATE(ClientInfo[[#This Row],[First Name]], " ",ClientInfo[[#This Row],[Last Name]]))</f>
        <v>Dave Stains</v>
      </c>
      <c r="B264" t="s">
        <v>1337</v>
      </c>
      <c r="C264" t="s">
        <v>1338</v>
      </c>
      <c r="D264" t="s">
        <v>1339</v>
      </c>
      <c r="Q264">
        <f>--ISNUMBER(SEARCH('RC Checklist'!$G$2,A264))</f>
        <v>0</v>
      </c>
      <c r="R264" t="str">
        <f>IF(Q264=1,COUNTIF($Q$2:$Q264,1),"")</f>
        <v/>
      </c>
      <c r="S264" t="str">
        <f>IFERROR(INDEX(ClientInfo[Full Name], MATCH(ROWS($R$2:$R264),ClientInfo[frequency], 0)),"")</f>
        <v/>
      </c>
    </row>
    <row r="265" spans="1:19">
      <c r="A265" t="str">
        <f>TRIM(CONCATENATE(ClientInfo[[#This Row],[First Name]], " ",ClientInfo[[#This Row],[Last Name]]))</f>
        <v>David</v>
      </c>
      <c r="B265" t="s">
        <v>1010</v>
      </c>
      <c r="F265" s="52">
        <v>4103659901</v>
      </c>
      <c r="Q265">
        <f>--ISNUMBER(SEARCH('RC Checklist'!$G$2,A265))</f>
        <v>0</v>
      </c>
      <c r="R265" t="str">
        <f>IF(Q265=1,COUNTIF($Q$2:$Q265,1),"")</f>
        <v/>
      </c>
      <c r="S265" t="str">
        <f>IFERROR(INDEX(ClientInfo[Full Name], MATCH(ROWS($R$2:$R265),ClientInfo[frequency], 0)),"")</f>
        <v/>
      </c>
    </row>
    <row r="266" spans="1:19">
      <c r="A266" t="str">
        <f>TRIM(CONCATENATE(ClientInfo[[#This Row],[First Name]], " ",ClientInfo[[#This Row],[Last Name]]))</f>
        <v>David &amp; Debbie Ford</v>
      </c>
      <c r="B266" t="s">
        <v>713</v>
      </c>
      <c r="C266" t="s">
        <v>714</v>
      </c>
      <c r="F266" s="52" t="s">
        <v>715</v>
      </c>
      <c r="G266" s="52" t="s">
        <v>716</v>
      </c>
      <c r="H266" t="s">
        <v>717</v>
      </c>
      <c r="O266" t="s">
        <v>718</v>
      </c>
      <c r="P266" t="s">
        <v>719</v>
      </c>
      <c r="Q266">
        <f>--ISNUMBER(SEARCH('RC Checklist'!$G$2,A266))</f>
        <v>0</v>
      </c>
      <c r="R266" t="str">
        <f>IF(Q266=1,COUNTIF($Q$2:$Q266,1),"")</f>
        <v/>
      </c>
      <c r="S266" t="str">
        <f>IFERROR(INDEX(ClientInfo[Full Name], MATCH(ROWS($R$2:$R266),ClientInfo[frequency], 0)),"")</f>
        <v/>
      </c>
    </row>
    <row r="267" spans="1:19">
      <c r="A267" t="str">
        <f>TRIM(CONCATENATE(ClientInfo[[#This Row],[First Name]], " ",ClientInfo[[#This Row],[Last Name]]))</f>
        <v>David &amp; Sarina</v>
      </c>
      <c r="B267" t="s">
        <v>1179</v>
      </c>
      <c r="F267" s="52" t="s">
        <v>1180</v>
      </c>
      <c r="Q267">
        <f>--ISNUMBER(SEARCH('RC Checklist'!$G$2,A267))</f>
        <v>0</v>
      </c>
      <c r="R267" t="str">
        <f>IF(Q267=1,COUNTIF($Q$2:$Q267,1),"")</f>
        <v/>
      </c>
      <c r="S267" t="str">
        <f>IFERROR(INDEX(ClientInfo[Full Name], MATCH(ROWS($R$2:$R267),ClientInfo[frequency], 0)),"")</f>
        <v/>
      </c>
    </row>
    <row r="268" spans="1:19">
      <c r="A268" t="str">
        <f>TRIM(CONCATENATE(ClientInfo[[#This Row],[First Name]], " ",ClientInfo[[#This Row],[Last Name]]))</f>
        <v>David Digla</v>
      </c>
      <c r="B268" t="s">
        <v>1010</v>
      </c>
      <c r="C268" t="s">
        <v>1637</v>
      </c>
      <c r="F268" s="52" t="s">
        <v>1638</v>
      </c>
      <c r="H268" t="s">
        <v>1639</v>
      </c>
      <c r="Q268">
        <f>--ISNUMBER(SEARCH('RC Checklist'!$G$2,A268))</f>
        <v>0</v>
      </c>
      <c r="R268" t="str">
        <f>IF(Q268=1,COUNTIF($Q$2:$Q268,1),"")</f>
        <v/>
      </c>
      <c r="S268" t="str">
        <f>IFERROR(INDEX(ClientInfo[Full Name], MATCH(ROWS($R$2:$R268),ClientInfo[frequency], 0)),"")</f>
        <v/>
      </c>
    </row>
    <row r="269" spans="1:19">
      <c r="A269" t="str">
        <f>TRIM(CONCATENATE(ClientInfo[[#This Row],[First Name]], " ",ClientInfo[[#This Row],[Last Name]]))</f>
        <v>David Green</v>
      </c>
      <c r="B269" t="s">
        <v>1010</v>
      </c>
      <c r="C269" t="s">
        <v>1011</v>
      </c>
      <c r="D269" t="s">
        <v>1012</v>
      </c>
      <c r="F269" s="52" t="s">
        <v>1013</v>
      </c>
      <c r="Q269">
        <f>--ISNUMBER(SEARCH('RC Checklist'!$G$2,A269))</f>
        <v>0</v>
      </c>
      <c r="R269" t="str">
        <f>IF(Q269=1,COUNTIF($Q$2:$Q269,1),"")</f>
        <v/>
      </c>
      <c r="S269" t="str">
        <f>IFERROR(INDEX(ClientInfo[Full Name], MATCH(ROWS($R$2:$R269),ClientInfo[frequency], 0)),"")</f>
        <v/>
      </c>
    </row>
    <row r="270" spans="1:19">
      <c r="A270" t="str">
        <f>TRIM(CONCATENATE(ClientInfo[[#This Row],[First Name]], " ",ClientInfo[[#This Row],[Last Name]]))</f>
        <v>David Henderson</v>
      </c>
      <c r="B270" t="s">
        <v>1010</v>
      </c>
      <c r="C270" t="s">
        <v>2139</v>
      </c>
      <c r="D270" t="s">
        <v>2289</v>
      </c>
      <c r="Q270">
        <f>--ISNUMBER(SEARCH('RC Checklist'!$G$2,A270))</f>
        <v>0</v>
      </c>
      <c r="R270" t="str">
        <f>IF(Q270=1,COUNTIF($Q$2:$Q270,1),"")</f>
        <v/>
      </c>
      <c r="S270" t="str">
        <f>IFERROR(INDEX(ClientInfo[Full Name], MATCH(ROWS($R$2:$R270),ClientInfo[frequency], 0)),"")</f>
        <v/>
      </c>
    </row>
    <row r="271" spans="1:19">
      <c r="A271" t="str">
        <f>TRIM(CONCATENATE(ClientInfo[[#This Row],[First Name]], " ",ClientInfo[[#This Row],[Last Name]]))</f>
        <v>David Laurance</v>
      </c>
      <c r="B271" t="s">
        <v>1010</v>
      </c>
      <c r="C271" t="s">
        <v>1599</v>
      </c>
      <c r="F271" s="52" t="s">
        <v>1600</v>
      </c>
      <c r="Q271">
        <f>--ISNUMBER(SEARCH('RC Checklist'!$G$2,A271))</f>
        <v>0</v>
      </c>
      <c r="R271" t="str">
        <f>IF(Q271=1,COUNTIF($Q$2:$Q271,1),"")</f>
        <v/>
      </c>
      <c r="S271" t="str">
        <f>IFERROR(INDEX(ClientInfo[Full Name], MATCH(ROWS($R$2:$R271),ClientInfo[frequency], 0)),"")</f>
        <v/>
      </c>
    </row>
    <row r="272" spans="1:19">
      <c r="A272" t="str">
        <f>TRIM(CONCATENATE(ClientInfo[[#This Row],[First Name]], " ",ClientInfo[[#This Row],[Last Name]]))</f>
        <v>David Sonn</v>
      </c>
      <c r="B272" t="s">
        <v>1010</v>
      </c>
      <c r="C272" t="s">
        <v>1876</v>
      </c>
      <c r="D272" t="s">
        <v>1877</v>
      </c>
      <c r="Q272">
        <f>--ISNUMBER(SEARCH('RC Checklist'!$G$2,A272))</f>
        <v>0</v>
      </c>
      <c r="R272" t="str">
        <f>IF(Q272=1,COUNTIF($Q$2:$Q272,1),"")</f>
        <v/>
      </c>
      <c r="S272" t="str">
        <f>IFERROR(INDEX(ClientInfo[Full Name], MATCH(ROWS($R$2:$R272),ClientInfo[frequency], 0)),"")</f>
        <v/>
      </c>
    </row>
    <row r="273" spans="1:19">
      <c r="A273" t="str">
        <f>TRIM(CONCATENATE(ClientInfo[[#This Row],[First Name]], " ",ClientInfo[[#This Row],[Last Name]]))</f>
        <v>David Turner</v>
      </c>
      <c r="B273" t="s">
        <v>1010</v>
      </c>
      <c r="C273" t="s">
        <v>1991</v>
      </c>
      <c r="F273" s="52">
        <v>4439005758</v>
      </c>
      <c r="Q273">
        <f>--ISNUMBER(SEARCH('RC Checklist'!$G$2,A273))</f>
        <v>0</v>
      </c>
      <c r="R273" t="str">
        <f>IF(Q273=1,COUNTIF($Q$2:$Q273,1),"")</f>
        <v/>
      </c>
      <c r="S273" t="str">
        <f>IFERROR(INDEX(ClientInfo[Full Name], MATCH(ROWS($R$2:$R273),ClientInfo[frequency], 0)),"")</f>
        <v/>
      </c>
    </row>
    <row r="274" spans="1:19">
      <c r="A274" t="str">
        <f>TRIM(CONCATENATE(ClientInfo[[#This Row],[First Name]], " ",ClientInfo[[#This Row],[Last Name]]))</f>
        <v>Dawn Hook</v>
      </c>
      <c r="B274" t="s">
        <v>59</v>
      </c>
      <c r="C274" t="s">
        <v>1824</v>
      </c>
      <c r="F274" s="52">
        <v>4109610374</v>
      </c>
      <c r="Q274">
        <f>--ISNUMBER(SEARCH('RC Checklist'!$G$2,A274))</f>
        <v>0</v>
      </c>
      <c r="R274" t="str">
        <f>IF(Q274=1,COUNTIF($Q$2:$Q274,1),"")</f>
        <v/>
      </c>
      <c r="S274" t="str">
        <f>IFERROR(INDEX(ClientInfo[Full Name], MATCH(ROWS($R$2:$R274),ClientInfo[frequency], 0)),"")</f>
        <v/>
      </c>
    </row>
    <row r="275" spans="1:19">
      <c r="A275" t="str">
        <f>TRIM(CONCATENATE(ClientInfo[[#This Row],[First Name]], " ",ClientInfo[[#This Row],[Last Name]]))</f>
        <v>Dawn Keefer</v>
      </c>
      <c r="B275" t="s">
        <v>59</v>
      </c>
      <c r="C275" t="s">
        <v>60</v>
      </c>
      <c r="F275" s="52" t="s">
        <v>61</v>
      </c>
      <c r="H275" t="s">
        <v>62</v>
      </c>
      <c r="Q275">
        <f>--ISNUMBER(SEARCH('RC Checklist'!$G$2,A275))</f>
        <v>0</v>
      </c>
      <c r="R275" t="str">
        <f>IF(Q275=1,COUNTIF($Q$2:$Q275,1),"")</f>
        <v/>
      </c>
      <c r="S275" t="str">
        <f>IFERROR(INDEX(ClientInfo[Full Name], MATCH(ROWS($R$2:$R275),ClientInfo[frequency], 0)),"")</f>
        <v/>
      </c>
    </row>
    <row r="276" spans="1:19">
      <c r="A276" t="str">
        <f>TRIM(CONCATENATE(ClientInfo[[#This Row],[First Name]], " ",ClientInfo[[#This Row],[Last Name]]))</f>
        <v>Dean Baker</v>
      </c>
      <c r="B276" t="s">
        <v>1804</v>
      </c>
      <c r="C276" t="s">
        <v>1805</v>
      </c>
      <c r="D276" t="s">
        <v>1806</v>
      </c>
      <c r="F276" s="52">
        <v>4434474869</v>
      </c>
      <c r="Q276">
        <f>--ISNUMBER(SEARCH('RC Checklist'!$G$2,A276))</f>
        <v>0</v>
      </c>
      <c r="R276" t="str">
        <f>IF(Q276=1,COUNTIF($Q$2:$Q276,1),"")</f>
        <v/>
      </c>
      <c r="S276" t="str">
        <f>IFERROR(INDEX(ClientInfo[Full Name], MATCH(ROWS($R$2:$R276),ClientInfo[frequency], 0)),"")</f>
        <v/>
      </c>
    </row>
    <row r="277" spans="1:19">
      <c r="A277" t="str">
        <f>TRIM(CONCATENATE(ClientInfo[[#This Row],[First Name]], " ",ClientInfo[[#This Row],[Last Name]]))</f>
        <v>Debbie Hunter</v>
      </c>
      <c r="B277" t="s">
        <v>2340</v>
      </c>
      <c r="C277" t="s">
        <v>1704</v>
      </c>
      <c r="F277" s="52" t="s">
        <v>2875</v>
      </c>
      <c r="Q277">
        <f>--ISNUMBER(SEARCH('RC Checklist'!$G$2,A277))</f>
        <v>0</v>
      </c>
      <c r="R277" t="str">
        <f>IF(Q277=1,COUNTIF($Q$2:$Q277,1),"")</f>
        <v/>
      </c>
      <c r="S277" t="str">
        <f>IFERROR(INDEX(ClientInfo[Full Name], MATCH(ROWS($R$2:$R277),ClientInfo[frequency], 0)),"")</f>
        <v/>
      </c>
    </row>
    <row r="278" spans="1:19">
      <c r="A278" t="str">
        <f>TRIM(CONCATENATE(ClientInfo[[#This Row],[First Name]], " ",ClientInfo[[#This Row],[Last Name]]))</f>
        <v>Denise Otto</v>
      </c>
      <c r="B278" t="s">
        <v>760</v>
      </c>
      <c r="C278" t="s">
        <v>761</v>
      </c>
      <c r="F278" s="52" t="s">
        <v>762</v>
      </c>
      <c r="Q278">
        <f>--ISNUMBER(SEARCH('RC Checklist'!$G$2,A278))</f>
        <v>0</v>
      </c>
      <c r="R278" t="str">
        <f>IF(Q278=1,COUNTIF($Q$2:$Q278,1),"")</f>
        <v/>
      </c>
      <c r="S278" t="str">
        <f>IFERROR(INDEX(ClientInfo[Full Name], MATCH(ROWS($R$2:$R278),ClientInfo[frequency], 0)),"")</f>
        <v/>
      </c>
    </row>
    <row r="279" spans="1:19">
      <c r="A279" t="str">
        <f>TRIM(CONCATENATE(ClientInfo[[#This Row],[First Name]], " ",ClientInfo[[#This Row],[Last Name]]))</f>
        <v>Denise R. Patterson</v>
      </c>
      <c r="B279" t="s">
        <v>2506</v>
      </c>
      <c r="C279" t="s">
        <v>2507</v>
      </c>
      <c r="D279" t="s">
        <v>2508</v>
      </c>
      <c r="E279" t="s">
        <v>2509</v>
      </c>
      <c r="F279" s="52">
        <v>4109774612</v>
      </c>
      <c r="G279" s="52">
        <v>4103914440</v>
      </c>
      <c r="H279" t="s">
        <v>2510</v>
      </c>
      <c r="O279" t="s">
        <v>2511</v>
      </c>
      <c r="Q279">
        <f>--ISNUMBER(SEARCH('RC Checklist'!$G$2,A279))</f>
        <v>0</v>
      </c>
      <c r="R279" t="str">
        <f>IF(Q279=1,COUNTIF($Q$2:$Q279,1),"")</f>
        <v/>
      </c>
      <c r="S279" t="str">
        <f>IFERROR(INDEX(ClientInfo[Full Name], MATCH(ROWS($R$2:$R279),ClientInfo[frequency], 0)),"")</f>
        <v/>
      </c>
    </row>
    <row r="280" spans="1:19">
      <c r="A280" t="str">
        <f>TRIM(CONCATENATE(ClientInfo[[#This Row],[First Name]], " ",ClientInfo[[#This Row],[Last Name]]))</f>
        <v>Dennis</v>
      </c>
      <c r="B280" t="s">
        <v>434</v>
      </c>
      <c r="F280" s="52" t="s">
        <v>435</v>
      </c>
      <c r="Q280">
        <f>--ISNUMBER(SEARCH('RC Checklist'!$G$2,A280))</f>
        <v>0</v>
      </c>
      <c r="R280" t="str">
        <f>IF(Q280=1,COUNTIF($Q$2:$Q280,1),"")</f>
        <v/>
      </c>
      <c r="S280" t="str">
        <f>IFERROR(INDEX(ClientInfo[Full Name], MATCH(ROWS($R$2:$R280),ClientInfo[frequency], 0)),"")</f>
        <v/>
      </c>
    </row>
    <row r="281" spans="1:19">
      <c r="A281" t="str">
        <f>TRIM(CONCATENATE(ClientInfo[[#This Row],[First Name]], " ",ClientInfo[[#This Row],[Last Name]]))</f>
        <v>Dennis Bogley</v>
      </c>
      <c r="B281" t="s">
        <v>434</v>
      </c>
      <c r="C281" t="s">
        <v>1081</v>
      </c>
      <c r="F281" s="52">
        <v>4434210267</v>
      </c>
      <c r="Q281">
        <f>--ISNUMBER(SEARCH('RC Checklist'!$G$2,A281))</f>
        <v>0</v>
      </c>
      <c r="R281" t="str">
        <f>IF(Q281=1,COUNTIF($Q$2:$Q281,1),"")</f>
        <v/>
      </c>
      <c r="S281" t="str">
        <f>IFERROR(INDEX(ClientInfo[Full Name], MATCH(ROWS($R$2:$R281),ClientInfo[frequency], 0)),"")</f>
        <v/>
      </c>
    </row>
    <row r="282" spans="1:19">
      <c r="A282" t="str">
        <f>TRIM(CONCATENATE(ClientInfo[[#This Row],[First Name]], " ",ClientInfo[[#This Row],[Last Name]]))</f>
        <v>Dennis Bosley</v>
      </c>
      <c r="B282" t="s">
        <v>434</v>
      </c>
      <c r="C282" t="s">
        <v>2074</v>
      </c>
      <c r="D282" t="s">
        <v>759</v>
      </c>
      <c r="F282" s="52">
        <v>4108361368</v>
      </c>
      <c r="Q282">
        <f>--ISNUMBER(SEARCH('RC Checklist'!$G$2,A282))</f>
        <v>0</v>
      </c>
      <c r="R282" t="str">
        <f>IF(Q282=1,COUNTIF($Q$2:$Q282,1),"")</f>
        <v/>
      </c>
      <c r="S282" t="str">
        <f>IFERROR(INDEX(ClientInfo[Full Name], MATCH(ROWS($R$2:$R282),ClientInfo[frequency], 0)),"")</f>
        <v/>
      </c>
    </row>
    <row r="283" spans="1:19">
      <c r="A283" t="str">
        <f>TRIM(CONCATENATE(ClientInfo[[#This Row],[First Name]], " ",ClientInfo[[#This Row],[Last Name]]))</f>
        <v>Dennis Bozley</v>
      </c>
      <c r="B283" t="s">
        <v>434</v>
      </c>
      <c r="C283" t="s">
        <v>758</v>
      </c>
      <c r="D283" t="s">
        <v>759</v>
      </c>
      <c r="F283" s="52">
        <v>4104597037</v>
      </c>
      <c r="Q283">
        <f>--ISNUMBER(SEARCH('RC Checklist'!$G$2,A283))</f>
        <v>0</v>
      </c>
      <c r="R283" t="str">
        <f>IF(Q283=1,COUNTIF($Q$2:$Q283,1),"")</f>
        <v/>
      </c>
      <c r="S283" t="str">
        <f>IFERROR(INDEX(ClientInfo[Full Name], MATCH(ROWS($R$2:$R283),ClientInfo[frequency], 0)),"")</f>
        <v/>
      </c>
    </row>
    <row r="284" spans="1:19">
      <c r="A284" t="str">
        <f>TRIM(CONCATENATE(ClientInfo[[#This Row],[First Name]], " ",ClientInfo[[#This Row],[Last Name]]))</f>
        <v>Dennis Cain</v>
      </c>
      <c r="B284" t="s">
        <v>434</v>
      </c>
      <c r="C284" t="s">
        <v>1272</v>
      </c>
      <c r="F284" s="52" t="s">
        <v>1273</v>
      </c>
      <c r="H284" t="s">
        <v>1274</v>
      </c>
      <c r="Q284">
        <f>--ISNUMBER(SEARCH('RC Checklist'!$G$2,A284))</f>
        <v>0</v>
      </c>
      <c r="R284" t="str">
        <f>IF(Q284=1,COUNTIF($Q$2:$Q284,1),"")</f>
        <v/>
      </c>
      <c r="S284" t="str">
        <f>IFERROR(INDEX(ClientInfo[Full Name], MATCH(ROWS($R$2:$R284),ClientInfo[frequency], 0)),"")</f>
        <v/>
      </c>
    </row>
    <row r="285" spans="1:19">
      <c r="A285" t="str">
        <f>TRIM(CONCATENATE(ClientInfo[[#This Row],[First Name]], " ",ClientInfo[[#This Row],[Last Name]]))</f>
        <v>Dennis Harris</v>
      </c>
      <c r="B285" s="19" t="s">
        <v>434</v>
      </c>
      <c r="C285" t="s">
        <v>460</v>
      </c>
      <c r="D285" t="s">
        <v>1418</v>
      </c>
      <c r="O285" t="s">
        <v>1419</v>
      </c>
      <c r="Q285">
        <f>--ISNUMBER(SEARCH('RC Checklist'!$G$2,A285))</f>
        <v>0</v>
      </c>
      <c r="R285" t="str">
        <f>IF(Q285=1,COUNTIF($Q$2:$Q285,1),"")</f>
        <v/>
      </c>
      <c r="S285" t="str">
        <f>IFERROR(INDEX(ClientInfo[Full Name], MATCH(ROWS($R$2:$R285),ClientInfo[frequency], 0)),"")</f>
        <v/>
      </c>
    </row>
    <row r="286" spans="1:19">
      <c r="A286" t="str">
        <f>TRIM(CONCATENATE(ClientInfo[[#This Row],[First Name]], " ",ClientInfo[[#This Row],[Last Name]]))</f>
        <v>Dent doctor</v>
      </c>
      <c r="B286" t="s">
        <v>448</v>
      </c>
      <c r="C286" t="s">
        <v>449</v>
      </c>
      <c r="F286" s="52" t="s">
        <v>451</v>
      </c>
      <c r="G286" s="52" t="s">
        <v>450</v>
      </c>
      <c r="Q286">
        <f>--ISNUMBER(SEARCH('RC Checklist'!$G$2,A286))</f>
        <v>0</v>
      </c>
      <c r="R286" t="str">
        <f>IF(Q286=1,COUNTIF($Q$2:$Q286,1),"")</f>
        <v/>
      </c>
      <c r="S286" t="str">
        <f>IFERROR(INDEX(ClientInfo[Full Name], MATCH(ROWS($R$2:$R286),ClientInfo[frequency], 0)),"")</f>
        <v/>
      </c>
    </row>
    <row r="287" spans="1:19">
      <c r="A287" t="str">
        <f>TRIM(CONCATENATE(ClientInfo[[#This Row],[First Name]], " ",ClientInfo[[#This Row],[Last Name]]))</f>
        <v>Devere Insulation Mike Rolland</v>
      </c>
      <c r="B287" t="s">
        <v>2236</v>
      </c>
      <c r="C287" t="s">
        <v>2237</v>
      </c>
      <c r="F287" s="52">
        <v>4103606900</v>
      </c>
      <c r="H287" t="s">
        <v>2238</v>
      </c>
      <c r="Q287">
        <f>--ISNUMBER(SEARCH('RC Checklist'!$G$2,A287))</f>
        <v>0</v>
      </c>
      <c r="R287" t="str">
        <f>IF(Q287=1,COUNTIF($Q$2:$Q287,1),"")</f>
        <v/>
      </c>
      <c r="S287" t="str">
        <f>IFERROR(INDEX(ClientInfo[Full Name], MATCH(ROWS($R$2:$R287),ClientInfo[frequency], 0)),"")</f>
        <v/>
      </c>
    </row>
    <row r="288" spans="1:19">
      <c r="A288" t="str">
        <f>TRIM(CONCATENATE(ClientInfo[[#This Row],[First Name]], " ",ClientInfo[[#This Row],[Last Name]]))</f>
        <v>Diamond Detail</v>
      </c>
      <c r="B288" t="s">
        <v>2599</v>
      </c>
      <c r="D288" t="s">
        <v>2599</v>
      </c>
      <c r="F288" s="52" t="s">
        <v>2600</v>
      </c>
      <c r="Q288">
        <f>--ISNUMBER(SEARCH('RC Checklist'!$G$2,A288))</f>
        <v>0</v>
      </c>
      <c r="R288" t="str">
        <f>IF(Q288=1,COUNTIF($Q$2:$Q288,1),"")</f>
        <v/>
      </c>
      <c r="S288" t="str">
        <f>IFERROR(INDEX(ClientInfo[Full Name], MATCH(ROWS($R$2:$R288),ClientInfo[frequency], 0)),"")</f>
        <v/>
      </c>
    </row>
    <row r="289" spans="1:19">
      <c r="A289" t="str">
        <f>TRIM(CONCATENATE(ClientInfo[[#This Row],[First Name]], " ",ClientInfo[[#This Row],[Last Name]]))</f>
        <v>Diana Russell</v>
      </c>
      <c r="B289" t="s">
        <v>2497</v>
      </c>
      <c r="C289" t="s">
        <v>2498</v>
      </c>
      <c r="D289" t="s">
        <v>2499</v>
      </c>
      <c r="Q289">
        <f>--ISNUMBER(SEARCH('RC Checklist'!$G$2,A289))</f>
        <v>0</v>
      </c>
      <c r="R289" t="str">
        <f>IF(Q289=1,COUNTIF($Q$2:$Q289,1),"")</f>
        <v/>
      </c>
      <c r="S289" t="str">
        <f>IFERROR(INDEX(ClientInfo[Full Name], MATCH(ROWS($R$2:$R289),ClientInfo[frequency], 0)),"")</f>
        <v/>
      </c>
    </row>
    <row r="290" spans="1:19">
      <c r="A290" t="str">
        <f>TRIM(CONCATENATE(ClientInfo[[#This Row],[First Name]], " ",ClientInfo[[#This Row],[Last Name]]))</f>
        <v>Diana Russell</v>
      </c>
      <c r="B290" t="s">
        <v>2497</v>
      </c>
      <c r="C290" t="s">
        <v>2498</v>
      </c>
      <c r="D290" t="s">
        <v>2499</v>
      </c>
      <c r="Q290">
        <f>--ISNUMBER(SEARCH('RC Checklist'!$G$2,A290))</f>
        <v>0</v>
      </c>
      <c r="R290" t="str">
        <f>IF(Q290=1,COUNTIF($Q$2:$Q290,1),"")</f>
        <v/>
      </c>
      <c r="S290" t="str">
        <f>IFERROR(INDEX(ClientInfo[Full Name], MATCH(ROWS($R$2:$R290),ClientInfo[frequency], 0)),"")</f>
        <v/>
      </c>
    </row>
    <row r="291" spans="1:19">
      <c r="A291" t="str">
        <f>TRIM(CONCATENATE(ClientInfo[[#This Row],[First Name]], " ",ClientInfo[[#This Row],[Last Name]]))</f>
        <v>Diane Caine</v>
      </c>
      <c r="B291" t="s">
        <v>1158</v>
      </c>
      <c r="C291" t="s">
        <v>1159</v>
      </c>
      <c r="F291" s="52" t="s">
        <v>1160</v>
      </c>
      <c r="H291" t="s">
        <v>1161</v>
      </c>
      <c r="Q291">
        <f>--ISNUMBER(SEARCH('RC Checklist'!$G$2,A291))</f>
        <v>0</v>
      </c>
      <c r="R291" t="str">
        <f>IF(Q291=1,COUNTIF($Q$2:$Q291,1),"")</f>
        <v/>
      </c>
      <c r="S291" t="str">
        <f>IFERROR(INDEX(ClientInfo[Full Name], MATCH(ROWS($R$2:$R291),ClientInfo[frequency], 0)),"")</f>
        <v/>
      </c>
    </row>
    <row r="292" spans="1:19">
      <c r="A292" t="str">
        <f>TRIM(CONCATENATE(ClientInfo[[#This Row],[First Name]], " ",ClientInfo[[#This Row],[Last Name]]))</f>
        <v>Diane Schubert</v>
      </c>
      <c r="B292" t="s">
        <v>1158</v>
      </c>
      <c r="C292" t="s">
        <v>2037</v>
      </c>
      <c r="F292" s="52" t="s">
        <v>2038</v>
      </c>
      <c r="G292" s="52" t="s">
        <v>2039</v>
      </c>
      <c r="Q292">
        <f>--ISNUMBER(SEARCH('RC Checklist'!$G$2,A292))</f>
        <v>0</v>
      </c>
      <c r="R292" t="str">
        <f>IF(Q292=1,COUNTIF($Q$2:$Q292,1),"")</f>
        <v/>
      </c>
      <c r="S292" t="str">
        <f>IFERROR(INDEX(ClientInfo[Full Name], MATCH(ROWS($R$2:$R292),ClientInfo[frequency], 0)),"")</f>
        <v/>
      </c>
    </row>
    <row r="293" spans="1:19">
      <c r="A293" t="str">
        <f>TRIM(CONCATENATE(ClientInfo[[#This Row],[First Name]], " ",ClientInfo[[#This Row],[Last Name]]))</f>
        <v>Dianne Tilley</v>
      </c>
      <c r="B293" t="s">
        <v>972</v>
      </c>
      <c r="C293" t="s">
        <v>973</v>
      </c>
      <c r="F293" s="52">
        <v>14102410415</v>
      </c>
      <c r="H293" t="s">
        <v>974</v>
      </c>
      <c r="P293" t="s">
        <v>975</v>
      </c>
      <c r="Q293">
        <f>--ISNUMBER(SEARCH('RC Checklist'!$G$2,A293))</f>
        <v>0</v>
      </c>
      <c r="R293" t="str">
        <f>IF(Q293=1,COUNTIF($Q$2:$Q293,1),"")</f>
        <v/>
      </c>
      <c r="S293" t="str">
        <f>IFERROR(INDEX(ClientInfo[Full Name], MATCH(ROWS($R$2:$R293),ClientInfo[frequency], 0)),"")</f>
        <v/>
      </c>
    </row>
    <row r="294" spans="1:19">
      <c r="A294" t="str">
        <f>TRIM(CONCATENATE(ClientInfo[[#This Row],[First Name]], " ",ClientInfo[[#This Row],[Last Name]]))</f>
        <v>Diesel</v>
      </c>
      <c r="B294" t="s">
        <v>1861</v>
      </c>
      <c r="F294" s="52" t="s">
        <v>1862</v>
      </c>
      <c r="Q294">
        <f>--ISNUMBER(SEARCH('RC Checklist'!$G$2,A294))</f>
        <v>0</v>
      </c>
      <c r="R294" t="str">
        <f>IF(Q294=1,COUNTIF($Q$2:$Q294,1),"")</f>
        <v/>
      </c>
      <c r="S294" t="str">
        <f>IFERROR(INDEX(ClientInfo[Full Name], MATCH(ROWS($R$2:$R294),ClientInfo[frequency], 0)),"")</f>
        <v/>
      </c>
    </row>
    <row r="295" spans="1:19">
      <c r="A295" t="str">
        <f>TRIM(CONCATENATE(ClientInfo[[#This Row],[First Name]], " ",ClientInfo[[#This Row],[Last Name]]))</f>
        <v>Digital Geoffrey Parrish</v>
      </c>
      <c r="B295" t="s">
        <v>37</v>
      </c>
      <c r="C295" t="s">
        <v>38</v>
      </c>
      <c r="D295" t="s">
        <v>39</v>
      </c>
      <c r="F295" s="52" t="s">
        <v>41</v>
      </c>
      <c r="G295" s="52" t="s">
        <v>40</v>
      </c>
      <c r="H295" t="s">
        <v>42</v>
      </c>
      <c r="P295" t="s">
        <v>43</v>
      </c>
      <c r="Q295">
        <f>--ISNUMBER(SEARCH('RC Checklist'!$G$2,A295))</f>
        <v>0</v>
      </c>
      <c r="R295" t="str">
        <f>IF(Q295=1,COUNTIF($Q$2:$Q295,1),"")</f>
        <v/>
      </c>
      <c r="S295" t="str">
        <f>IFERROR(INDEX(ClientInfo[Full Name], MATCH(ROWS($R$2:$R295),ClientInfo[frequency], 0)),"")</f>
        <v/>
      </c>
    </row>
    <row r="296" spans="1:19">
      <c r="A296" t="str">
        <f>TRIM(CONCATENATE(ClientInfo[[#This Row],[First Name]], " ",ClientInfo[[#This Row],[Last Name]]))</f>
        <v>Dinning</v>
      </c>
      <c r="B296" t="s">
        <v>1164</v>
      </c>
      <c r="F296" s="52" t="s">
        <v>1165</v>
      </c>
      <c r="Q296">
        <f>--ISNUMBER(SEARCH('RC Checklist'!$G$2,A296))</f>
        <v>0</v>
      </c>
      <c r="R296" t="str">
        <f>IF(Q296=1,COUNTIF($Q$2:$Q296,1),"")</f>
        <v/>
      </c>
      <c r="S296" t="str">
        <f>IFERROR(INDEX(ClientInfo[Full Name], MATCH(ROWS($R$2:$R296),ClientInfo[frequency], 0)),"")</f>
        <v/>
      </c>
    </row>
    <row r="297" spans="1:19">
      <c r="A297" t="str">
        <f>TRIM(CONCATENATE(ClientInfo[[#This Row],[First Name]], " ",ClientInfo[[#This Row],[Last Name]]))</f>
        <v>Discount tire dire</v>
      </c>
      <c r="B297" t="s">
        <v>804</v>
      </c>
      <c r="C297" t="s">
        <v>805</v>
      </c>
      <c r="F297" s="52">
        <v>18007398999</v>
      </c>
      <c r="Q297">
        <f>--ISNUMBER(SEARCH('RC Checklist'!$G$2,A297))</f>
        <v>0</v>
      </c>
      <c r="R297" t="str">
        <f>IF(Q297=1,COUNTIF($Q$2:$Q297,1),"")</f>
        <v/>
      </c>
      <c r="S297" t="str">
        <f>IFERROR(INDEX(ClientInfo[Full Name], MATCH(ROWS($R$2:$R297),ClientInfo[frequency], 0)),"")</f>
        <v/>
      </c>
    </row>
    <row r="298" spans="1:19">
      <c r="A298" t="str">
        <f>TRIM(CONCATENATE(ClientInfo[[#This Row],[First Name]], " ",ClientInfo[[#This Row],[Last Name]]))</f>
        <v>Dominic Desantis</v>
      </c>
      <c r="B298" t="s">
        <v>1872</v>
      </c>
      <c r="C298" t="s">
        <v>1873</v>
      </c>
      <c r="F298" s="52" t="s">
        <v>1874</v>
      </c>
      <c r="Q298">
        <f>--ISNUMBER(SEARCH('RC Checklist'!$G$2,A298))</f>
        <v>0</v>
      </c>
      <c r="R298" t="str">
        <f>IF(Q298=1,COUNTIF($Q$2:$Q298,1),"")</f>
        <v/>
      </c>
      <c r="S298" t="str">
        <f>IFERROR(INDEX(ClientInfo[Full Name], MATCH(ROWS($R$2:$R298),ClientInfo[frequency], 0)),"")</f>
        <v/>
      </c>
    </row>
    <row r="299" spans="1:19">
      <c r="A299" t="str">
        <f>TRIM(CONCATENATE(ClientInfo[[#This Row],[First Name]], " ",ClientInfo[[#This Row],[Last Name]]))</f>
        <v>Don</v>
      </c>
      <c r="B299" t="s">
        <v>225</v>
      </c>
      <c r="D299" t="s">
        <v>2010</v>
      </c>
      <c r="Q299">
        <f>--ISNUMBER(SEARCH('RC Checklist'!$G$2,A299))</f>
        <v>0</v>
      </c>
      <c r="R299" t="str">
        <f>IF(Q299=1,COUNTIF($Q$2:$Q299,1),"")</f>
        <v/>
      </c>
      <c r="S299" t="str">
        <f>IFERROR(INDEX(ClientInfo[Full Name], MATCH(ROWS($R$2:$R299),ClientInfo[frequency], 0)),"")</f>
        <v/>
      </c>
    </row>
    <row r="300" spans="1:19">
      <c r="A300" t="str">
        <f>TRIM(CONCATENATE(ClientInfo[[#This Row],[First Name]], " ",ClientInfo[[#This Row],[Last Name]]))</f>
        <v>Don Matastasio</v>
      </c>
      <c r="B300" t="s">
        <v>225</v>
      </c>
      <c r="C300" t="s">
        <v>2102</v>
      </c>
      <c r="D300" t="s">
        <v>2103</v>
      </c>
      <c r="F300" s="52" t="s">
        <v>2104</v>
      </c>
      <c r="O300" t="s">
        <v>2105</v>
      </c>
      <c r="Q300">
        <f>--ISNUMBER(SEARCH('RC Checklist'!$G$2,A300))</f>
        <v>0</v>
      </c>
      <c r="R300" t="str">
        <f>IF(Q300=1,COUNTIF($Q$2:$Q300,1),"")</f>
        <v/>
      </c>
      <c r="S300" t="str">
        <f>IFERROR(INDEX(ClientInfo[Full Name], MATCH(ROWS($R$2:$R300),ClientInfo[frequency], 0)),"")</f>
        <v/>
      </c>
    </row>
    <row r="301" spans="1:19">
      <c r="A301" t="str">
        <f>TRIM(CONCATENATE(ClientInfo[[#This Row],[First Name]], " ",ClientInfo[[#This Row],[Last Name]]))</f>
        <v>Don Ritchie</v>
      </c>
      <c r="B301" t="s">
        <v>225</v>
      </c>
      <c r="C301" t="s">
        <v>945</v>
      </c>
      <c r="D301" t="s">
        <v>946</v>
      </c>
      <c r="F301" s="52" t="s">
        <v>947</v>
      </c>
      <c r="G301" s="52" t="s">
        <v>948</v>
      </c>
      <c r="H301" t="s">
        <v>949</v>
      </c>
      <c r="O301" t="s">
        <v>950</v>
      </c>
      <c r="Q301">
        <f>--ISNUMBER(SEARCH('RC Checklist'!$G$2,A301))</f>
        <v>0</v>
      </c>
      <c r="R301" t="str">
        <f>IF(Q301=1,COUNTIF($Q$2:$Q301,1),"")</f>
        <v/>
      </c>
      <c r="S301" t="str">
        <f>IFERROR(INDEX(ClientInfo[Full Name], MATCH(ROWS($R$2:$R301),ClientInfo[frequency], 0)),"")</f>
        <v/>
      </c>
    </row>
    <row r="302" spans="1:19">
      <c r="A302" t="str">
        <f>TRIM(CONCATENATE(ClientInfo[[#This Row],[First Name]], " ",ClientInfo[[#This Row],[Last Name]]))</f>
        <v>Don Ruston</v>
      </c>
      <c r="B302" t="s">
        <v>225</v>
      </c>
      <c r="C302" t="s">
        <v>226</v>
      </c>
      <c r="F302" s="52">
        <v>4109522315</v>
      </c>
      <c r="H302" t="s">
        <v>227</v>
      </c>
      <c r="Q302">
        <f>--ISNUMBER(SEARCH('RC Checklist'!$G$2,A302))</f>
        <v>0</v>
      </c>
      <c r="R302" t="str">
        <f>IF(Q302=1,COUNTIF($Q$2:$Q302,1),"")</f>
        <v/>
      </c>
      <c r="S302" t="str">
        <f>IFERROR(INDEX(ClientInfo[Full Name], MATCH(ROWS($R$2:$R302),ClientInfo[frequency], 0)),"")</f>
        <v/>
      </c>
    </row>
    <row r="303" spans="1:19">
      <c r="A303" t="str">
        <f>TRIM(CONCATENATE(ClientInfo[[#This Row],[First Name]], " ",ClientInfo[[#This Row],[Last Name]]))</f>
        <v>Don white</v>
      </c>
      <c r="B303" t="s">
        <v>225</v>
      </c>
      <c r="C303" t="s">
        <v>1878</v>
      </c>
      <c r="F303" s="52">
        <v>4103714560</v>
      </c>
      <c r="Q303">
        <f>--ISNUMBER(SEARCH('RC Checklist'!$G$2,A303))</f>
        <v>0</v>
      </c>
      <c r="R303" t="str">
        <f>IF(Q303=1,COUNTIF($Q$2:$Q303,1),"")</f>
        <v/>
      </c>
      <c r="S303" t="str">
        <f>IFERROR(INDEX(ClientInfo[Full Name], MATCH(ROWS($R$2:$R303),ClientInfo[frequency], 0)),"")</f>
        <v/>
      </c>
    </row>
    <row r="304" spans="1:19">
      <c r="A304" t="str">
        <f>TRIM(CONCATENATE(ClientInfo[[#This Row],[First Name]], " ",ClientInfo[[#This Row],[Last Name]]))</f>
        <v>Dona</v>
      </c>
      <c r="B304" t="s">
        <v>2732</v>
      </c>
      <c r="F304" s="52">
        <v>4074936574</v>
      </c>
      <c r="Q304">
        <f>--ISNUMBER(SEARCH('RC Checklist'!$G$2,A304))</f>
        <v>0</v>
      </c>
      <c r="R304" t="str">
        <f>IF(Q304=1,COUNTIF($Q$2:$Q304,1),"")</f>
        <v/>
      </c>
      <c r="S304" t="str">
        <f>IFERROR(INDEX(ClientInfo[Full Name], MATCH(ROWS($R$2:$R304),ClientInfo[frequency], 0)),"")</f>
        <v/>
      </c>
    </row>
    <row r="305" spans="1:19">
      <c r="A305" t="str">
        <f>TRIM(CONCATENATE(ClientInfo[[#This Row],[First Name]], " ",ClientInfo[[#This Row],[Last Name]]))</f>
        <v>Dondre</v>
      </c>
      <c r="B305" t="s">
        <v>1963</v>
      </c>
      <c r="D305" t="s">
        <v>1964</v>
      </c>
      <c r="F305" s="52" t="s">
        <v>1965</v>
      </c>
      <c r="Q305">
        <f>--ISNUMBER(SEARCH('RC Checklist'!$G$2,A305))</f>
        <v>0</v>
      </c>
      <c r="R305" t="str">
        <f>IF(Q305=1,COUNTIF($Q$2:$Q305,1),"")</f>
        <v/>
      </c>
      <c r="S305" t="str">
        <f>IFERROR(INDEX(ClientInfo[Full Name], MATCH(ROWS($R$2:$R305),ClientInfo[frequency], 0)),"")</f>
        <v/>
      </c>
    </row>
    <row r="306" spans="1:19">
      <c r="A306" t="str">
        <f>TRIM(CONCATENATE(ClientInfo[[#This Row],[First Name]], " ",ClientInfo[[#This Row],[Last Name]]))</f>
        <v>Donna White</v>
      </c>
      <c r="B306" t="s">
        <v>2480</v>
      </c>
      <c r="C306" t="s">
        <v>44</v>
      </c>
      <c r="F306" s="52" t="s">
        <v>2481</v>
      </c>
      <c r="G306" s="52">
        <v>14438492226</v>
      </c>
      <c r="O306" t="s">
        <v>2482</v>
      </c>
      <c r="Q306">
        <f>--ISNUMBER(SEARCH('RC Checklist'!$G$2,A306))</f>
        <v>0</v>
      </c>
      <c r="R306" t="str">
        <f>IF(Q306=1,COUNTIF($Q$2:$Q306,1),"")</f>
        <v/>
      </c>
      <c r="S306" t="str">
        <f>IFERROR(INDEX(ClientInfo[Full Name], MATCH(ROWS($R$2:$R306),ClientInfo[frequency], 0)),"")</f>
        <v/>
      </c>
    </row>
    <row r="307" spans="1:19">
      <c r="A307" t="str">
        <f>TRIM(CONCATENATE(ClientInfo[[#This Row],[First Name]], " ",ClientInfo[[#This Row],[Last Name]]))</f>
        <v>Donny Swattner</v>
      </c>
      <c r="B307" t="s">
        <v>2241</v>
      </c>
      <c r="C307" t="s">
        <v>2242</v>
      </c>
      <c r="D307" t="s">
        <v>2243</v>
      </c>
      <c r="F307" s="52">
        <v>14438316689</v>
      </c>
      <c r="Q307">
        <f>--ISNUMBER(SEARCH('RC Checklist'!$G$2,A307))</f>
        <v>0</v>
      </c>
      <c r="R307" t="str">
        <f>IF(Q307=1,COUNTIF($Q$2:$Q307,1),"")</f>
        <v/>
      </c>
      <c r="S307" t="str">
        <f>IFERROR(INDEX(ClientInfo[Full Name], MATCH(ROWS($R$2:$R307),ClientInfo[frequency], 0)),"")</f>
        <v/>
      </c>
    </row>
    <row r="308" spans="1:19">
      <c r="A308" t="str">
        <f>TRIM(CONCATENATE(ClientInfo[[#This Row],[First Name]], " ",ClientInfo[[#This Row],[Last Name]]))</f>
        <v>Dorian Knarr</v>
      </c>
      <c r="B308" t="s">
        <v>2186</v>
      </c>
      <c r="C308" t="s">
        <v>2187</v>
      </c>
      <c r="F308" s="52" t="s">
        <v>2188</v>
      </c>
      <c r="Q308">
        <f>--ISNUMBER(SEARCH('RC Checklist'!$G$2,A308))</f>
        <v>0</v>
      </c>
      <c r="R308" t="str">
        <f>IF(Q308=1,COUNTIF($Q$2:$Q308,1),"")</f>
        <v/>
      </c>
      <c r="S308" t="str">
        <f>IFERROR(INDEX(ClientInfo[Full Name], MATCH(ROWS($R$2:$R308),ClientInfo[frequency], 0)),"")</f>
        <v/>
      </c>
    </row>
    <row r="309" spans="1:19">
      <c r="A309" t="str">
        <f>TRIM(CONCATENATE(ClientInfo[[#This Row],[First Name]], " ",ClientInfo[[#This Row],[Last Name]]))</f>
        <v>Doug</v>
      </c>
      <c r="B309" t="s">
        <v>620</v>
      </c>
      <c r="H309" t="s">
        <v>136</v>
      </c>
      <c r="O309" t="s">
        <v>137</v>
      </c>
      <c r="Q309">
        <f>--ISNUMBER(SEARCH('RC Checklist'!$G$2,A309))</f>
        <v>0</v>
      </c>
      <c r="R309" t="str">
        <f>IF(Q309=1,COUNTIF($Q$2:$Q309,1),"")</f>
        <v/>
      </c>
      <c r="S309" t="str">
        <f>IFERROR(INDEX(ClientInfo[Full Name], MATCH(ROWS($R$2:$R309),ClientInfo[frequency], 0)),"")</f>
        <v/>
      </c>
    </row>
    <row r="310" spans="1:19">
      <c r="A310" t="str">
        <f>TRIM(CONCATENATE(ClientInfo[[#This Row],[First Name]], " ",ClientInfo[[#This Row],[Last Name]]))</f>
        <v>Doug</v>
      </c>
      <c r="B310" t="s">
        <v>620</v>
      </c>
      <c r="F310" s="52">
        <v>7175859605</v>
      </c>
      <c r="Q310">
        <f>--ISNUMBER(SEARCH('RC Checklist'!$G$2,A310))</f>
        <v>0</v>
      </c>
      <c r="R310" t="str">
        <f>IF(Q310=1,COUNTIF($Q$2:$Q310,1),"")</f>
        <v/>
      </c>
      <c r="S310" t="str">
        <f>IFERROR(INDEX(ClientInfo[Full Name], MATCH(ROWS($R$2:$R310),ClientInfo[frequency], 0)),"")</f>
        <v/>
      </c>
    </row>
    <row r="311" spans="1:19">
      <c r="A311" t="str">
        <f>TRIM(CONCATENATE(ClientInfo[[#This Row],[First Name]], " ",ClientInfo[[#This Row],[Last Name]]))</f>
        <v>Doug f s Beer Truck</v>
      </c>
      <c r="B311" t="s">
        <v>537</v>
      </c>
      <c r="C311" t="s">
        <v>538</v>
      </c>
      <c r="F311" s="52">
        <v>4109770255</v>
      </c>
      <c r="Q311">
        <f>--ISNUMBER(SEARCH('RC Checklist'!$G$2,A311))</f>
        <v>0</v>
      </c>
      <c r="R311" t="str">
        <f>IF(Q311=1,COUNTIF($Q$2:$Q311,1),"")</f>
        <v/>
      </c>
      <c r="S311" t="str">
        <f>IFERROR(INDEX(ClientInfo[Full Name], MATCH(ROWS($R$2:$R311),ClientInfo[frequency], 0)),"")</f>
        <v/>
      </c>
    </row>
    <row r="312" spans="1:19">
      <c r="A312" t="str">
        <f>TRIM(CONCATENATE(ClientInfo[[#This Row],[First Name]], " ",ClientInfo[[#This Row],[Last Name]]))</f>
        <v>Doug Kelly</v>
      </c>
      <c r="B312" t="s">
        <v>620</v>
      </c>
      <c r="C312" t="s">
        <v>287</v>
      </c>
      <c r="F312" s="52" t="s">
        <v>1088</v>
      </c>
      <c r="Q312">
        <f>--ISNUMBER(SEARCH('RC Checklist'!$G$2,A312))</f>
        <v>0</v>
      </c>
      <c r="R312" t="str">
        <f>IF(Q312=1,COUNTIF($Q$2:$Q312,1),"")</f>
        <v/>
      </c>
      <c r="S312" t="str">
        <f>IFERROR(INDEX(ClientInfo[Full Name], MATCH(ROWS($R$2:$R312),ClientInfo[frequency], 0)),"")</f>
        <v/>
      </c>
    </row>
    <row r="313" spans="1:19">
      <c r="A313" t="str">
        <f>TRIM(CONCATENATE(ClientInfo[[#This Row],[First Name]], " ",ClientInfo[[#This Row],[Last Name]]))</f>
        <v>Doug McKoy</v>
      </c>
      <c r="B313" t="s">
        <v>620</v>
      </c>
      <c r="C313" t="s">
        <v>621</v>
      </c>
      <c r="D313" t="s">
        <v>622</v>
      </c>
      <c r="E313" t="s">
        <v>623</v>
      </c>
      <c r="F313" s="52">
        <v>6672189212</v>
      </c>
      <c r="Q313">
        <f>--ISNUMBER(SEARCH('RC Checklist'!$G$2,A313))</f>
        <v>0</v>
      </c>
      <c r="R313" t="str">
        <f>IF(Q313=1,COUNTIF($Q$2:$Q313,1),"")</f>
        <v/>
      </c>
      <c r="S313" t="str">
        <f>IFERROR(INDEX(ClientInfo[Full Name], MATCH(ROWS($R$2:$R313),ClientInfo[frequency], 0)),"")</f>
        <v/>
      </c>
    </row>
    <row r="314" spans="1:19">
      <c r="A314" t="str">
        <f>TRIM(CONCATENATE(ClientInfo[[#This Row],[First Name]], " ",ClientInfo[[#This Row],[Last Name]]))</f>
        <v>Doug Verzi</v>
      </c>
      <c r="B314" t="s">
        <v>620</v>
      </c>
      <c r="C314" t="s">
        <v>2419</v>
      </c>
      <c r="F314" s="52" t="s">
        <v>2420</v>
      </c>
      <c r="G314" s="52" t="s">
        <v>2421</v>
      </c>
      <c r="Q314">
        <f>--ISNUMBER(SEARCH('RC Checklist'!$G$2,A314))</f>
        <v>0</v>
      </c>
      <c r="R314" t="str">
        <f>IF(Q314=1,COUNTIF($Q$2:$Q314,1),"")</f>
        <v/>
      </c>
      <c r="S314" t="str">
        <f>IFERROR(INDEX(ClientInfo[Full Name], MATCH(ROWS($R$2:$R314),ClientInfo[frequency], 0)),"")</f>
        <v/>
      </c>
    </row>
    <row r="315" spans="1:19">
      <c r="A315" t="str">
        <f>TRIM(CONCATENATE(ClientInfo[[#This Row],[First Name]], " ",ClientInfo[[#This Row],[Last Name]]))</f>
        <v>Dough Linderman</v>
      </c>
      <c r="B315" t="s">
        <v>2476</v>
      </c>
      <c r="C315" t="s">
        <v>2477</v>
      </c>
      <c r="F315" s="52">
        <v>4237151555</v>
      </c>
      <c r="Q315">
        <f>--ISNUMBER(SEARCH('RC Checklist'!$G$2,A315))</f>
        <v>0</v>
      </c>
      <c r="R315" t="str">
        <f>IF(Q315=1,COUNTIF($Q$2:$Q315,1),"")</f>
        <v/>
      </c>
      <c r="S315" t="str">
        <f>IFERROR(INDEX(ClientInfo[Full Name], MATCH(ROWS($R$2:$R315),ClientInfo[frequency], 0)),"")</f>
        <v/>
      </c>
    </row>
    <row r="316" spans="1:19">
      <c r="A316" t="str">
        <f>TRIM(CONCATENATE(ClientInfo[[#This Row],[First Name]], " ",ClientInfo[[#This Row],[Last Name]]))</f>
        <v>Douglas Blunt</v>
      </c>
      <c r="B316" t="s">
        <v>1633</v>
      </c>
      <c r="C316" t="s">
        <v>1634</v>
      </c>
      <c r="F316" s="52" t="s">
        <v>1635</v>
      </c>
      <c r="O316" t="s">
        <v>1636</v>
      </c>
      <c r="Q316">
        <f>--ISNUMBER(SEARCH('RC Checklist'!$G$2,A316))</f>
        <v>0</v>
      </c>
      <c r="R316" t="str">
        <f>IF(Q316=1,COUNTIF($Q$2:$Q316,1),"")</f>
        <v/>
      </c>
      <c r="S316" t="str">
        <f>IFERROR(INDEX(ClientInfo[Full Name], MATCH(ROWS($R$2:$R316),ClientInfo[frequency], 0)),"")</f>
        <v/>
      </c>
    </row>
    <row r="317" spans="1:19">
      <c r="A317" t="str">
        <f>TRIM(CONCATENATE(ClientInfo[[#This Row],[First Name]], " ",ClientInfo[[#This Row],[Last Name]]))</f>
        <v>Dr Aronson</v>
      </c>
      <c r="B317" t="s">
        <v>891</v>
      </c>
      <c r="F317" s="52" t="s">
        <v>892</v>
      </c>
      <c r="Q317">
        <f>--ISNUMBER(SEARCH('RC Checklist'!$G$2,A317))</f>
        <v>0</v>
      </c>
      <c r="R317" t="str">
        <f>IF(Q317=1,COUNTIF($Q$2:$Q317,1),"")</f>
        <v/>
      </c>
      <c r="S317" t="str">
        <f>IFERROR(INDEX(ClientInfo[Full Name], MATCH(ROWS($R$2:$R317),ClientInfo[frequency], 0)),"")</f>
        <v/>
      </c>
    </row>
    <row r="318" spans="1:19">
      <c r="A318" t="str">
        <f>TRIM(CONCATENATE(ClientInfo[[#This Row],[First Name]], " ",ClientInfo[[#This Row],[Last Name]]))</f>
        <v>Dr Brocato Ruth</v>
      </c>
      <c r="B318" t="s">
        <v>785</v>
      </c>
      <c r="C318" t="s">
        <v>786</v>
      </c>
      <c r="D318" t="s">
        <v>787</v>
      </c>
      <c r="F318" s="52" t="s">
        <v>788</v>
      </c>
      <c r="O318" t="s">
        <v>789</v>
      </c>
      <c r="Q318">
        <f>--ISNUMBER(SEARCH('RC Checklist'!$G$2,A318))</f>
        <v>0</v>
      </c>
      <c r="R318" t="str">
        <f>IF(Q318=1,COUNTIF($Q$2:$Q318,1),"")</f>
        <v/>
      </c>
      <c r="S318" t="str">
        <f>IFERROR(INDEX(ClientInfo[Full Name], MATCH(ROWS($R$2:$R318),ClientInfo[frequency], 0)),"")</f>
        <v/>
      </c>
    </row>
    <row r="319" spans="1:19">
      <c r="A319" t="str">
        <f>TRIM(CONCATENATE(ClientInfo[[#This Row],[First Name]], " ",ClientInfo[[#This Row],[Last Name]]))</f>
        <v>Dr Daley</v>
      </c>
      <c r="B319" t="s">
        <v>360</v>
      </c>
      <c r="D319" t="s">
        <v>361</v>
      </c>
      <c r="Q319">
        <f>--ISNUMBER(SEARCH('RC Checklist'!$G$2,A319))</f>
        <v>0</v>
      </c>
      <c r="R319" t="str">
        <f>IF(Q319=1,COUNTIF($Q$2:$Q319,1),"")</f>
        <v/>
      </c>
      <c r="S319" t="str">
        <f>IFERROR(INDEX(ClientInfo[Full Name], MATCH(ROWS($R$2:$R319),ClientInfo[frequency], 0)),"")</f>
        <v/>
      </c>
    </row>
    <row r="320" spans="1:19">
      <c r="A320" t="str">
        <f>TRIM(CONCATENATE(ClientInfo[[#This Row],[First Name]], " ",ClientInfo[[#This Row],[Last Name]]))</f>
        <v>Dr Dankner</v>
      </c>
      <c r="B320" t="s">
        <v>362</v>
      </c>
      <c r="D320" t="s">
        <v>363</v>
      </c>
      <c r="Q320">
        <f>--ISNUMBER(SEARCH('RC Checklist'!$G$2,A320))</f>
        <v>0</v>
      </c>
      <c r="R320" t="str">
        <f>IF(Q320=1,COUNTIF($Q$2:$Q320,1),"")</f>
        <v/>
      </c>
      <c r="S320" t="str">
        <f>IFERROR(INDEX(ClientInfo[Full Name], MATCH(ROWS($R$2:$R320),ClientInfo[frequency], 0)),"")</f>
        <v/>
      </c>
    </row>
    <row r="321" spans="1:19">
      <c r="A321" t="str">
        <f>TRIM(CONCATENATE(ClientInfo[[#This Row],[First Name]], " ",ClientInfo[[#This Row],[Last Name]]))</f>
        <v>Dr Diehn</v>
      </c>
      <c r="B321" t="s">
        <v>365</v>
      </c>
      <c r="D321" t="s">
        <v>366</v>
      </c>
      <c r="Q321">
        <f>--ISNUMBER(SEARCH('RC Checklist'!$G$2,A321))</f>
        <v>0</v>
      </c>
      <c r="R321" t="str">
        <f>IF(Q321=1,COUNTIF($Q$2:$Q321,1),"")</f>
        <v/>
      </c>
      <c r="S321" t="str">
        <f>IFERROR(INDEX(ClientInfo[Full Name], MATCH(ROWS($R$2:$R321),ClientInfo[frequency], 0)),"")</f>
        <v/>
      </c>
    </row>
    <row r="322" spans="1:19">
      <c r="A322" t="str">
        <f>TRIM(CONCATENATE(ClientInfo[[#This Row],[First Name]], " ",ClientInfo[[#This Row],[Last Name]]))</f>
        <v>Dr feldman</v>
      </c>
      <c r="B322" t="s">
        <v>367</v>
      </c>
      <c r="C322" t="s">
        <v>368</v>
      </c>
      <c r="F322" s="52">
        <v>4107466821</v>
      </c>
      <c r="G322" s="52">
        <v>4108235233</v>
      </c>
      <c r="Q322">
        <f>--ISNUMBER(SEARCH('RC Checklist'!$G$2,A322))</f>
        <v>0</v>
      </c>
      <c r="R322" t="str">
        <f>IF(Q322=1,COUNTIF($Q$2:$Q322,1),"")</f>
        <v/>
      </c>
      <c r="S322" t="str">
        <f>IFERROR(INDEX(ClientInfo[Full Name], MATCH(ROWS($R$2:$R322),ClientInfo[frequency], 0)),"")</f>
        <v/>
      </c>
    </row>
    <row r="323" spans="1:19">
      <c r="A323" t="str">
        <f>TRIM(CONCATENATE(ClientInfo[[#This Row],[First Name]], " ",ClientInfo[[#This Row],[Last Name]]))</f>
        <v>Dr stoltz</v>
      </c>
      <c r="B323" t="s">
        <v>367</v>
      </c>
      <c r="C323" t="s">
        <v>648</v>
      </c>
      <c r="F323" s="52">
        <v>4105991400</v>
      </c>
      <c r="G323" s="52">
        <v>4108211300</v>
      </c>
      <c r="Q323">
        <f>--ISNUMBER(SEARCH('RC Checklist'!$G$2,A323))</f>
        <v>0</v>
      </c>
      <c r="R323" t="str">
        <f>IF(Q323=1,COUNTIF($Q$2:$Q323,1),"")</f>
        <v/>
      </c>
      <c r="S323" t="str">
        <f>IFERROR(INDEX(ClientInfo[Full Name], MATCH(ROWS($R$2:$R323),ClientInfo[frequency], 0)),"")</f>
        <v/>
      </c>
    </row>
    <row r="324" spans="1:19">
      <c r="A324" t="str">
        <f>TRIM(CONCATENATE(ClientInfo[[#This Row],[First Name]], " ",ClientInfo[[#This Row],[Last Name]]))</f>
        <v>Dr Vanguri</v>
      </c>
      <c r="B324" t="s">
        <v>1449</v>
      </c>
      <c r="F324" s="52" t="s">
        <v>1450</v>
      </c>
      <c r="O324" t="s">
        <v>1451</v>
      </c>
      <c r="Q324">
        <f>--ISNUMBER(SEARCH('RC Checklist'!$G$2,A324))</f>
        <v>0</v>
      </c>
      <c r="R324" t="str">
        <f>IF(Q324=1,COUNTIF($Q$2:$Q324,1),"")</f>
        <v/>
      </c>
      <c r="S324" t="str">
        <f>IFERROR(INDEX(ClientInfo[Full Name], MATCH(ROWS($R$2:$R324),ClientInfo[frequency], 0)),"")</f>
        <v/>
      </c>
    </row>
    <row r="325" spans="1:19">
      <c r="A325" t="str">
        <f>TRIM(CONCATENATE(ClientInfo[[#This Row],[First Name]], " ",ClientInfo[[#This Row],[Last Name]]))</f>
        <v>Dr. Das Nishi(Primary Dr.) Dr.Carr</v>
      </c>
      <c r="B325" t="s">
        <v>498</v>
      </c>
      <c r="C325" t="s">
        <v>499</v>
      </c>
      <c r="E325" t="s">
        <v>500</v>
      </c>
      <c r="F325" s="52" t="s">
        <v>501</v>
      </c>
      <c r="O325" t="s">
        <v>502</v>
      </c>
      <c r="Q325">
        <f>--ISNUMBER(SEARCH('RC Checklist'!$G$2,A325))</f>
        <v>0</v>
      </c>
      <c r="R325" t="str">
        <f>IF(Q325=1,COUNTIF($Q$2:$Q325,1),"")</f>
        <v/>
      </c>
      <c r="S325" t="str">
        <f>IFERROR(INDEX(ClientInfo[Full Name], MATCH(ROWS($R$2:$R325),ClientInfo[frequency], 0)),"")</f>
        <v/>
      </c>
    </row>
    <row r="326" spans="1:19">
      <c r="A326" t="str">
        <f>TRIM(CONCATENATE(ClientInfo[[#This Row],[First Name]], " ",ClientInfo[[#This Row],[Last Name]]))</f>
        <v>ðŸ‘©ðŸ»â€ðŸ¦°RedsðŸ‘©ðŸ»â€ðŸ¦°</v>
      </c>
      <c r="B326" t="s">
        <v>889</v>
      </c>
      <c r="F326" s="52" t="s">
        <v>890</v>
      </c>
      <c r="Q326">
        <f>--ISNUMBER(SEARCH('RC Checklist'!$G$2,A326))</f>
        <v>0</v>
      </c>
      <c r="R326" t="str">
        <f>IF(Q326=1,COUNTIF($Q$2:$Q326,1),"")</f>
        <v/>
      </c>
      <c r="S326" t="str">
        <f>IFERROR(INDEX(ClientInfo[Full Name], MATCH(ROWS($R$2:$R326),ClientInfo[frequency], 0)),"")</f>
        <v/>
      </c>
    </row>
    <row r="327" spans="1:19">
      <c r="A327" t="str">
        <f>TRIM(CONCATENATE(ClientInfo[[#This Row],[First Name]], " ",ClientInfo[[#This Row],[Last Name]]))</f>
        <v>ðŸ’›DaddioðŸ’›</v>
      </c>
      <c r="B327" t="s">
        <v>2719</v>
      </c>
      <c r="F327" s="52" t="s">
        <v>764</v>
      </c>
      <c r="Q327">
        <f>--ISNUMBER(SEARCH('RC Checklist'!$G$2,A327))</f>
        <v>0</v>
      </c>
      <c r="R327" t="str">
        <f>IF(Q327=1,COUNTIF($Q$2:$Q327,1),"")</f>
        <v/>
      </c>
      <c r="S327" t="str">
        <f>IFERROR(INDEX(ClientInfo[Full Name], MATCH(ROWS($R$2:$R327),ClientInfo[frequency], 0)),"")</f>
        <v/>
      </c>
    </row>
    <row r="328" spans="1:19">
      <c r="A328" t="str">
        <f>TRIM(CONCATENATE(ClientInfo[[#This Row],[First Name]], " ",ClientInfo[[#This Row],[Last Name]]))</f>
        <v>ðŸ’–GrandmaðŸ’–</v>
      </c>
      <c r="B328" t="s">
        <v>1839</v>
      </c>
      <c r="F328" s="52" t="s">
        <v>1840</v>
      </c>
      <c r="G328" s="52" t="s">
        <v>1841</v>
      </c>
      <c r="P328" t="s">
        <v>1842</v>
      </c>
      <c r="Q328">
        <f>--ISNUMBER(SEARCH('RC Checklist'!$G$2,A328))</f>
        <v>0</v>
      </c>
      <c r="R328" t="str">
        <f>IF(Q328=1,COUNTIF($Q$2:$Q328,1),"")</f>
        <v/>
      </c>
      <c r="S328" t="str">
        <f>IFERROR(INDEX(ClientInfo[Full Name], MATCH(ROWS($R$2:$R328),ClientInfo[frequency], 0)),"")</f>
        <v/>
      </c>
    </row>
    <row r="329" spans="1:19">
      <c r="A329" t="str">
        <f>TRIM(CONCATENATE(ClientInfo[[#This Row],[First Name]], " ",ClientInfo[[#This Row],[Last Name]]))</f>
        <v>Eagles Landing</v>
      </c>
      <c r="B329" t="s">
        <v>352</v>
      </c>
      <c r="D329" t="s">
        <v>352</v>
      </c>
      <c r="Q329">
        <f>--ISNUMBER(SEARCH('RC Checklist'!$G$2,A329))</f>
        <v>0</v>
      </c>
      <c r="R329" t="str">
        <f>IF(Q329=1,COUNTIF($Q$2:$Q329,1),"")</f>
        <v/>
      </c>
      <c r="S329" t="str">
        <f>IFERROR(INDEX(ClientInfo[Full Name], MATCH(ROWS($R$2:$R329),ClientInfo[frequency], 0)),"")</f>
        <v/>
      </c>
    </row>
    <row r="330" spans="1:19">
      <c r="A330" t="str">
        <f>TRIM(CONCATENATE(ClientInfo[[#This Row],[First Name]], " ",ClientInfo[[#This Row],[Last Name]]))</f>
        <v>Earl E. Preston</v>
      </c>
      <c r="B330" t="s">
        <v>138</v>
      </c>
      <c r="C330" t="s">
        <v>139</v>
      </c>
      <c r="F330" s="52">
        <v>4105578100</v>
      </c>
      <c r="H330" t="s">
        <v>140</v>
      </c>
      <c r="O330" t="s">
        <v>141</v>
      </c>
      <c r="Q330">
        <f>--ISNUMBER(SEARCH('RC Checklist'!$G$2,A330))</f>
        <v>0</v>
      </c>
      <c r="R330" t="str">
        <f>IF(Q330=1,COUNTIF($Q$2:$Q330,1),"")</f>
        <v/>
      </c>
      <c r="S330" t="str">
        <f>IFERROR(INDEX(ClientInfo[Full Name], MATCH(ROWS($R$2:$R330),ClientInfo[frequency], 0)),"")</f>
        <v/>
      </c>
    </row>
    <row r="331" spans="1:19">
      <c r="A331" t="str">
        <f>TRIM(CONCATENATE(ClientInfo[[#This Row],[First Name]], " ",ClientInfo[[#This Row],[Last Name]]))</f>
        <v>Earl Martin</v>
      </c>
      <c r="B331" t="s">
        <v>1803</v>
      </c>
      <c r="C331" t="s">
        <v>712</v>
      </c>
      <c r="F331" s="52">
        <v>4104047347</v>
      </c>
      <c r="Q331">
        <f>--ISNUMBER(SEARCH('RC Checklist'!$G$2,A331))</f>
        <v>0</v>
      </c>
      <c r="R331" t="str">
        <f>IF(Q331=1,COUNTIF($Q$2:$Q331,1),"")</f>
        <v/>
      </c>
      <c r="S331" t="str">
        <f>IFERROR(INDEX(ClientInfo[Full Name], MATCH(ROWS($R$2:$R331),ClientInfo[frequency], 0)),"")</f>
        <v/>
      </c>
    </row>
    <row r="332" spans="1:19">
      <c r="A332" t="str">
        <f>TRIM(CONCATENATE(ClientInfo[[#This Row],[First Name]], " ",ClientInfo[[#This Row],[Last Name]]))</f>
        <v>Ed Christman</v>
      </c>
      <c r="B332" t="s">
        <v>1446</v>
      </c>
      <c r="C332" t="s">
        <v>2403</v>
      </c>
      <c r="Q332">
        <f>--ISNUMBER(SEARCH('RC Checklist'!$G$2,A332))</f>
        <v>0</v>
      </c>
      <c r="R332" t="str">
        <f>IF(Q332=1,COUNTIF($Q$2:$Q332,1),"")</f>
        <v/>
      </c>
      <c r="S332" t="str">
        <f>IFERROR(INDEX(ClientInfo[Full Name], MATCH(ROWS($R$2:$R332),ClientInfo[frequency], 0)),"")</f>
        <v/>
      </c>
    </row>
    <row r="333" spans="1:19">
      <c r="A333" t="str">
        <f>TRIM(CONCATENATE(ClientInfo[[#This Row],[First Name]], " ",ClientInfo[[#This Row],[Last Name]]))</f>
        <v>Ed Wise</v>
      </c>
      <c r="B333" t="s">
        <v>1446</v>
      </c>
      <c r="C333" t="s">
        <v>1447</v>
      </c>
      <c r="D333" t="s">
        <v>1448</v>
      </c>
      <c r="Q333">
        <f>--ISNUMBER(SEARCH('RC Checklist'!$G$2,A333))</f>
        <v>0</v>
      </c>
      <c r="R333" t="str">
        <f>IF(Q333=1,COUNTIF($Q$2:$Q333,1),"")</f>
        <v/>
      </c>
      <c r="S333" t="str">
        <f>IFERROR(INDEX(ClientInfo[Full Name], MATCH(ROWS($R$2:$R333),ClientInfo[frequency], 0)),"")</f>
        <v/>
      </c>
    </row>
    <row r="334" spans="1:19">
      <c r="A334" t="str">
        <f>TRIM(CONCATENATE(ClientInfo[[#This Row],[First Name]], " ",ClientInfo[[#This Row],[Last Name]]))</f>
        <v>Eduardo Portella</v>
      </c>
      <c r="B334" t="s">
        <v>2376</v>
      </c>
      <c r="C334" t="s">
        <v>2377</v>
      </c>
      <c r="E334" t="s">
        <v>2378</v>
      </c>
      <c r="F334" s="52">
        <v>4437941508</v>
      </c>
      <c r="G334" s="52">
        <v>4105613017</v>
      </c>
      <c r="O334" t="s">
        <v>2379</v>
      </c>
      <c r="Q334">
        <f>--ISNUMBER(SEARCH('RC Checklist'!$G$2,A334))</f>
        <v>0</v>
      </c>
      <c r="R334" t="str">
        <f>IF(Q334=1,COUNTIF($Q$2:$Q334,1),"")</f>
        <v/>
      </c>
      <c r="S334" t="str">
        <f>IFERROR(INDEX(ClientInfo[Full Name], MATCH(ROWS($R$2:$R334),ClientInfo[frequency], 0)),"")</f>
        <v/>
      </c>
    </row>
    <row r="335" spans="1:19">
      <c r="A335" t="str">
        <f>TRIM(CONCATENATE(ClientInfo[[#This Row],[First Name]], " ",ClientInfo[[#This Row],[Last Name]]))</f>
        <v>Edwards Machine Shop</v>
      </c>
      <c r="B335" t="s">
        <v>1992</v>
      </c>
      <c r="D335" t="s">
        <v>1992</v>
      </c>
      <c r="F335" s="52" t="s">
        <v>1993</v>
      </c>
      <c r="O335" t="s">
        <v>1994</v>
      </c>
      <c r="Q335">
        <f>--ISNUMBER(SEARCH('RC Checklist'!$G$2,A335))</f>
        <v>0</v>
      </c>
      <c r="R335" t="str">
        <f>IF(Q335=1,COUNTIF($Q$2:$Q335,1),"")</f>
        <v/>
      </c>
      <c r="S335" t="str">
        <f>IFERROR(INDEX(ClientInfo[Full Name], MATCH(ROWS($R$2:$R335),ClientInfo[frequency], 0)),"")</f>
        <v/>
      </c>
    </row>
    <row r="336" spans="1:19">
      <c r="A336" t="str">
        <f>TRIM(CONCATENATE(ClientInfo[[#This Row],[First Name]], " ",ClientInfo[[#This Row],[Last Name]]))</f>
        <v>Edwin Ramirez</v>
      </c>
      <c r="B336" t="s">
        <v>2601</v>
      </c>
      <c r="C336" t="s">
        <v>1858</v>
      </c>
      <c r="Q336">
        <f>--ISNUMBER(SEARCH('RC Checklist'!$G$2,A336))</f>
        <v>0</v>
      </c>
      <c r="R336" t="str">
        <f>IF(Q336=1,COUNTIF($Q$2:$Q336,1),"")</f>
        <v/>
      </c>
      <c r="S336" t="str">
        <f>IFERROR(INDEX(ClientInfo[Full Name], MATCH(ROWS($R$2:$R336),ClientInfo[frequency], 0)),"")</f>
        <v/>
      </c>
    </row>
    <row r="337" spans="1:19">
      <c r="A337" t="str">
        <f>TRIM(CONCATENATE(ClientInfo[[#This Row],[First Name]], " ",ClientInfo[[#This Row],[Last Name]]))</f>
        <v>Effy Lamp</v>
      </c>
      <c r="B337" t="s">
        <v>2552</v>
      </c>
      <c r="C337" t="s">
        <v>2553</v>
      </c>
      <c r="D337" t="s">
        <v>249</v>
      </c>
      <c r="F337" s="52" t="s">
        <v>2554</v>
      </c>
      <c r="Q337">
        <f>--ISNUMBER(SEARCH('RC Checklist'!$G$2,A337))</f>
        <v>0</v>
      </c>
      <c r="R337" t="str">
        <f>IF(Q337=1,COUNTIF($Q$2:$Q337,1),"")</f>
        <v/>
      </c>
      <c r="S337" t="str">
        <f>IFERROR(INDEX(ClientInfo[Full Name], MATCH(ROWS($R$2:$R337),ClientInfo[frequency], 0)),"")</f>
        <v/>
      </c>
    </row>
    <row r="338" spans="1:19">
      <c r="A338" t="str">
        <f>TRIM(CONCATENATE(ClientInfo[[#This Row],[First Name]], " ",ClientInfo[[#This Row],[Last Name]]))</f>
        <v>Elaine Lindsay</v>
      </c>
      <c r="B338" t="s">
        <v>592</v>
      </c>
      <c r="C338" t="s">
        <v>593</v>
      </c>
      <c r="F338" s="52" t="s">
        <v>594</v>
      </c>
      <c r="H338" t="s">
        <v>595</v>
      </c>
      <c r="Q338">
        <f>--ISNUMBER(SEARCH('RC Checklist'!$G$2,A338))</f>
        <v>0</v>
      </c>
      <c r="R338" t="str">
        <f>IF(Q338=1,COUNTIF($Q$2:$Q338,1),"")</f>
        <v/>
      </c>
      <c r="S338" t="str">
        <f>IFERROR(INDEX(ClientInfo[Full Name], MATCH(ROWS($R$2:$R338),ClientInfo[frequency], 0)),"")</f>
        <v/>
      </c>
    </row>
    <row r="339" spans="1:19">
      <c r="A339" t="str">
        <f>TRIM(CONCATENATE(ClientInfo[[#This Row],[First Name]], " ",ClientInfo[[#This Row],[Last Name]]))</f>
        <v>Elizabeth Burgess</v>
      </c>
      <c r="B339" t="s">
        <v>2159</v>
      </c>
      <c r="C339" t="s">
        <v>941</v>
      </c>
      <c r="D339" t="s">
        <v>2160</v>
      </c>
      <c r="F339" s="52" t="s">
        <v>2161</v>
      </c>
      <c r="Q339">
        <f>--ISNUMBER(SEARCH('RC Checklist'!$G$2,A339))</f>
        <v>0</v>
      </c>
      <c r="R339" t="str">
        <f>IF(Q339=1,COUNTIF($Q$2:$Q339,1),"")</f>
        <v/>
      </c>
      <c r="S339" t="str">
        <f>IFERROR(INDEX(ClientInfo[Full Name], MATCH(ROWS($R$2:$R339),ClientInfo[frequency], 0)),"")</f>
        <v/>
      </c>
    </row>
    <row r="340" spans="1:19">
      <c r="A340" t="str">
        <f>TRIM(CONCATENATE(ClientInfo[[#This Row],[First Name]], " ",ClientInfo[[#This Row],[Last Name]]))</f>
        <v>Elvis</v>
      </c>
      <c r="B340" t="s">
        <v>2118</v>
      </c>
      <c r="D340" t="s">
        <v>1428</v>
      </c>
      <c r="Q340">
        <f>--ISNUMBER(SEARCH('RC Checklist'!$G$2,A340))</f>
        <v>0</v>
      </c>
      <c r="R340" t="str">
        <f>IF(Q340=1,COUNTIF($Q$2:$Q340,1),"")</f>
        <v/>
      </c>
      <c r="S340" t="str">
        <f>IFERROR(INDEX(ClientInfo[Full Name], MATCH(ROWS($R$2:$R340),ClientInfo[frequency], 0)),"")</f>
        <v/>
      </c>
    </row>
    <row r="341" spans="1:19">
      <c r="A341" t="str">
        <f>TRIM(CONCATENATE(ClientInfo[[#This Row],[First Name]], " ",ClientInfo[[#This Row],[Last Name]]))</f>
        <v>Emanual</v>
      </c>
      <c r="B341" t="s">
        <v>2733</v>
      </c>
      <c r="Q341">
        <f>--ISNUMBER(SEARCH('RC Checklist'!$G$2,A341))</f>
        <v>0</v>
      </c>
      <c r="R341" t="str">
        <f>IF(Q341=1,COUNTIF($Q$2:$Q341,1),"")</f>
        <v/>
      </c>
      <c r="S341" t="str">
        <f>IFERROR(INDEX(ClientInfo[Full Name], MATCH(ROWS($R$2:$R341),ClientInfo[frequency], 0)),"")</f>
        <v/>
      </c>
    </row>
    <row r="342" spans="1:19">
      <c r="A342" t="str">
        <f>TRIM(CONCATENATE(ClientInfo[[#This Row],[First Name]], " ",ClientInfo[[#This Row],[Last Name]]))</f>
        <v>Emerald Gardens</v>
      </c>
      <c r="B342" t="s">
        <v>1761</v>
      </c>
      <c r="D342" t="s">
        <v>1761</v>
      </c>
      <c r="F342" s="52" t="s">
        <v>1762</v>
      </c>
      <c r="Q342">
        <f>--ISNUMBER(SEARCH('RC Checklist'!$G$2,A342))</f>
        <v>0</v>
      </c>
      <c r="R342" t="str">
        <f>IF(Q342=1,COUNTIF($Q$2:$Q342,1),"")</f>
        <v/>
      </c>
      <c r="S342" t="str">
        <f>IFERROR(INDEX(ClientInfo[Full Name], MATCH(ROWS($R$2:$R342),ClientInfo[frequency], 0)),"")</f>
        <v/>
      </c>
    </row>
    <row r="343" spans="1:19">
      <c r="A343" t="str">
        <f>TRIM(CONCATENATE(ClientInfo[[#This Row],[First Name]], " ",ClientInfo[[#This Row],[Last Name]]))</f>
        <v>Emily Hall</v>
      </c>
      <c r="B343" t="s">
        <v>1318</v>
      </c>
      <c r="C343" t="s">
        <v>45</v>
      </c>
      <c r="D343" t="s">
        <v>1319</v>
      </c>
      <c r="F343" s="52">
        <v>4437258911</v>
      </c>
      <c r="G343" s="52" t="s">
        <v>1320</v>
      </c>
      <c r="H343" t="s">
        <v>1321</v>
      </c>
      <c r="Q343">
        <f>--ISNUMBER(SEARCH('RC Checklist'!$G$2,A343))</f>
        <v>0</v>
      </c>
      <c r="R343" t="str">
        <f>IF(Q343=1,COUNTIF($Q$2:$Q343,1),"")</f>
        <v/>
      </c>
      <c r="S343" t="str">
        <f>IFERROR(INDEX(ClientInfo[Full Name], MATCH(ROWS($R$2:$R343),ClientInfo[frequency], 0)),"")</f>
        <v/>
      </c>
    </row>
    <row r="344" spans="1:19">
      <c r="A344" t="str">
        <f>TRIM(CONCATENATE(ClientInfo[[#This Row],[First Name]], " ",ClientInfo[[#This Row],[Last Name]]))</f>
        <v>Emmerson Carvahllo</v>
      </c>
      <c r="B344" t="s">
        <v>1286</v>
      </c>
      <c r="C344" t="s">
        <v>1287</v>
      </c>
      <c r="Q344">
        <f>--ISNUMBER(SEARCH('RC Checklist'!$G$2,A344))</f>
        <v>0</v>
      </c>
      <c r="R344" t="str">
        <f>IF(Q344=1,COUNTIF($Q$2:$Q344,1),"")</f>
        <v/>
      </c>
      <c r="S344" t="str">
        <f>IFERROR(INDEX(ClientInfo[Full Name], MATCH(ROWS($R$2:$R344),ClientInfo[frequency], 0)),"")</f>
        <v/>
      </c>
    </row>
    <row r="345" spans="1:19">
      <c r="A345" t="str">
        <f>TRIM(CONCATENATE(ClientInfo[[#This Row],[First Name]], " ",ClientInfo[[#This Row],[Last Name]]))</f>
        <v>Empire Auto Parts</v>
      </c>
      <c r="B345" t="s">
        <v>2219</v>
      </c>
      <c r="D345" t="s">
        <v>2219</v>
      </c>
      <c r="F345" s="52" t="s">
        <v>2220</v>
      </c>
      <c r="H345" t="s">
        <v>2221</v>
      </c>
      <c r="Q345">
        <f>--ISNUMBER(SEARCH('RC Checklist'!$G$2,A345))</f>
        <v>0</v>
      </c>
      <c r="R345" t="str">
        <f>IF(Q345=1,COUNTIF($Q$2:$Q345,1),"")</f>
        <v/>
      </c>
      <c r="S345" t="str">
        <f>IFERROR(INDEX(ClientInfo[Full Name], MATCH(ROWS($R$2:$R345),ClientInfo[frequency], 0)),"")</f>
        <v/>
      </c>
    </row>
    <row r="346" spans="1:19">
      <c r="A346" t="str">
        <f>TRIM(CONCATENATE(ClientInfo[[#This Row],[First Name]], " ",ClientInfo[[#This Row],[Last Name]]))</f>
        <v>Eric &amp; Joanna Trela</v>
      </c>
      <c r="B346" t="s">
        <v>326</v>
      </c>
      <c r="C346" t="s">
        <v>327</v>
      </c>
      <c r="F346" s="52">
        <v>4104530884</v>
      </c>
      <c r="H346" t="s">
        <v>328</v>
      </c>
      <c r="Q346">
        <f>--ISNUMBER(SEARCH('RC Checklist'!$G$2,A346))</f>
        <v>0</v>
      </c>
      <c r="R346" t="str">
        <f>IF(Q346=1,COUNTIF($Q$2:$Q346,1),"")</f>
        <v/>
      </c>
      <c r="S346" t="str">
        <f>IFERROR(INDEX(ClientInfo[Full Name], MATCH(ROWS($R$2:$R346),ClientInfo[frequency], 0)),"")</f>
        <v/>
      </c>
    </row>
    <row r="347" spans="1:19">
      <c r="A347" t="str">
        <f>TRIM(CONCATENATE(ClientInfo[[#This Row],[First Name]], " ",ClientInfo[[#This Row],[Last Name]]))</f>
        <v>Eric &amp; Lisa Mark</v>
      </c>
      <c r="B347" t="s">
        <v>288</v>
      </c>
      <c r="C347" t="s">
        <v>289</v>
      </c>
      <c r="F347" s="52">
        <v>4103221125</v>
      </c>
      <c r="G347" s="52">
        <v>4102786457</v>
      </c>
      <c r="Q347">
        <f>--ISNUMBER(SEARCH('RC Checklist'!$G$2,A347))</f>
        <v>0</v>
      </c>
      <c r="R347" t="str">
        <f>IF(Q347=1,COUNTIF($Q$2:$Q347,1),"")</f>
        <v/>
      </c>
      <c r="S347" t="str">
        <f>IFERROR(INDEX(ClientInfo[Full Name], MATCH(ROWS($R$2:$R347),ClientInfo[frequency], 0)),"")</f>
        <v/>
      </c>
    </row>
    <row r="348" spans="1:19">
      <c r="A348" t="str">
        <f>TRIM(CONCATENATE(ClientInfo[[#This Row],[First Name]], " ",ClientInfo[[#This Row],[Last Name]]))</f>
        <v>Eric &amp; Marie Mckie</v>
      </c>
      <c r="B348" t="s">
        <v>883</v>
      </c>
      <c r="C348" t="s">
        <v>884</v>
      </c>
      <c r="F348" s="52" t="s">
        <v>885</v>
      </c>
      <c r="O348" t="s">
        <v>886</v>
      </c>
      <c r="Q348">
        <f>--ISNUMBER(SEARCH('RC Checklist'!$G$2,A348))</f>
        <v>0</v>
      </c>
      <c r="R348" t="str">
        <f>IF(Q348=1,COUNTIF($Q$2:$Q348,1),"")</f>
        <v/>
      </c>
      <c r="S348" t="str">
        <f>IFERROR(INDEX(ClientInfo[Full Name], MATCH(ROWS($R$2:$R348),ClientInfo[frequency], 0)),"")</f>
        <v/>
      </c>
    </row>
    <row r="349" spans="1:19">
      <c r="A349" t="str">
        <f>TRIM(CONCATENATE(ClientInfo[[#This Row],[First Name]], " ",ClientInfo[[#This Row],[Last Name]]))</f>
        <v>Eric Chessler</v>
      </c>
      <c r="B349" t="s">
        <v>1075</v>
      </c>
      <c r="C349" t="s">
        <v>1952</v>
      </c>
      <c r="D349" t="s">
        <v>1953</v>
      </c>
      <c r="F349" s="52">
        <v>4107903067</v>
      </c>
      <c r="Q349">
        <f>--ISNUMBER(SEARCH('RC Checklist'!$G$2,A349))</f>
        <v>0</v>
      </c>
      <c r="R349" t="str">
        <f>IF(Q349=1,COUNTIF($Q$2:$Q349,1),"")</f>
        <v/>
      </c>
      <c r="S349" t="str">
        <f>IFERROR(INDEX(ClientInfo[Full Name], MATCH(ROWS($R$2:$R349),ClientInfo[frequency], 0)),"")</f>
        <v/>
      </c>
    </row>
    <row r="350" spans="1:19">
      <c r="A350" t="str">
        <f>TRIM(CONCATENATE(ClientInfo[[#This Row],[First Name]], " ",ClientInfo[[#This Row],[Last Name]]))</f>
        <v>Eric Glaeser Jr</v>
      </c>
      <c r="B350" t="s">
        <v>115</v>
      </c>
      <c r="C350" t="s">
        <v>116</v>
      </c>
      <c r="D350" t="s">
        <v>117</v>
      </c>
      <c r="F350" s="52">
        <v>4433659365</v>
      </c>
      <c r="H350" t="s">
        <v>118</v>
      </c>
      <c r="O350" t="s">
        <v>119</v>
      </c>
      <c r="Q350">
        <f>--ISNUMBER(SEARCH('RC Checklist'!$G$2,A350))</f>
        <v>0</v>
      </c>
      <c r="R350" t="str">
        <f>IF(Q350=1,COUNTIF($Q$2:$Q350,1),"")</f>
        <v/>
      </c>
      <c r="S350" t="str">
        <f>IFERROR(INDEX(ClientInfo[Full Name], MATCH(ROWS($R$2:$R350),ClientInfo[frequency], 0)),"")</f>
        <v/>
      </c>
    </row>
    <row r="351" spans="1:19">
      <c r="A351" t="str">
        <f>TRIM(CONCATENATE(ClientInfo[[#This Row],[First Name]], " ",ClientInfo[[#This Row],[Last Name]]))</f>
        <v>Eric Jennson</v>
      </c>
      <c r="B351" t="s">
        <v>1075</v>
      </c>
      <c r="C351" t="s">
        <v>1076</v>
      </c>
      <c r="D351" t="s">
        <v>1077</v>
      </c>
      <c r="F351" s="52" t="s">
        <v>1078</v>
      </c>
      <c r="Q351">
        <f>--ISNUMBER(SEARCH('RC Checklist'!$G$2,A351))</f>
        <v>0</v>
      </c>
      <c r="R351" t="str">
        <f>IF(Q351=1,COUNTIF($Q$2:$Q351,1),"")</f>
        <v/>
      </c>
      <c r="S351" t="str">
        <f>IFERROR(INDEX(ClientInfo[Full Name], MATCH(ROWS($R$2:$R351),ClientInfo[frequency], 0)),"")</f>
        <v/>
      </c>
    </row>
    <row r="352" spans="1:19">
      <c r="A352" t="str">
        <f>TRIM(CONCATENATE(ClientInfo[[#This Row],[First Name]], " ",ClientInfo[[#This Row],[Last Name]]))</f>
        <v>Eunhee</v>
      </c>
      <c r="B352" t="s">
        <v>1190</v>
      </c>
      <c r="F352" s="52">
        <v>14108219080</v>
      </c>
      <c r="G352" s="52" t="s">
        <v>1191</v>
      </c>
      <c r="Q352">
        <f>--ISNUMBER(SEARCH('RC Checklist'!$G$2,A352))</f>
        <v>0</v>
      </c>
      <c r="R352" t="str">
        <f>IF(Q352=1,COUNTIF($Q$2:$Q352,1),"")</f>
        <v/>
      </c>
      <c r="S352" t="str">
        <f>IFERROR(INDEX(ClientInfo[Full Name], MATCH(ROWS($R$2:$R352),ClientInfo[frequency], 0)),"")</f>
        <v/>
      </c>
    </row>
    <row r="353" spans="1:19">
      <c r="A353" t="str">
        <f>TRIM(CONCATENATE(ClientInfo[[#This Row],[First Name]], " ",ClientInfo[[#This Row],[Last Name]]))</f>
        <v>Evelyn</v>
      </c>
      <c r="B353" t="s">
        <v>2605</v>
      </c>
      <c r="D353" t="s">
        <v>2000</v>
      </c>
      <c r="F353" s="52">
        <v>4438241719</v>
      </c>
      <c r="Q353">
        <f>--ISNUMBER(SEARCH('RC Checklist'!$G$2,A353))</f>
        <v>0</v>
      </c>
      <c r="R353" t="str">
        <f>IF(Q353=1,COUNTIF($Q$2:$Q353,1),"")</f>
        <v/>
      </c>
      <c r="S353" t="str">
        <f>IFERROR(INDEX(ClientInfo[Full Name], MATCH(ROWS($R$2:$R353),ClientInfo[frequency], 0)),"")</f>
        <v/>
      </c>
    </row>
    <row r="354" spans="1:19">
      <c r="A354" t="str">
        <f>TRIM(CONCATENATE(ClientInfo[[#This Row],[First Name]], " ",ClientInfo[[#This Row],[Last Name]]))</f>
        <v>Evelyn Ragland Zink</v>
      </c>
      <c r="B354" t="s">
        <v>97</v>
      </c>
      <c r="C354" t="s">
        <v>98</v>
      </c>
      <c r="E354" t="s">
        <v>99</v>
      </c>
      <c r="F354" s="52">
        <v>4103036926</v>
      </c>
      <c r="G354" s="52">
        <v>4103235500</v>
      </c>
      <c r="H354" t="s">
        <v>100</v>
      </c>
      <c r="O354" t="s">
        <v>101</v>
      </c>
      <c r="Q354">
        <f>--ISNUMBER(SEARCH('RC Checklist'!$G$2,A354))</f>
        <v>0</v>
      </c>
      <c r="R354" t="str">
        <f>IF(Q354=1,COUNTIF($Q$2:$Q354,1),"")</f>
        <v/>
      </c>
      <c r="S354" t="str">
        <f>IFERROR(INDEX(ClientInfo[Full Name], MATCH(ROWS($R$2:$R354),ClientInfo[frequency], 0)),"")</f>
        <v/>
      </c>
    </row>
    <row r="355" spans="1:19">
      <c r="A355" t="str">
        <f>TRIM(CONCATENATE(ClientInfo[[#This Row],[First Name]], " ",ClientInfo[[#This Row],[Last Name]]))</f>
        <v>EvERErr MEDINA</v>
      </c>
      <c r="B355" t="s">
        <v>91</v>
      </c>
      <c r="C355" t="s">
        <v>92</v>
      </c>
      <c r="D355" t="s">
        <v>93</v>
      </c>
      <c r="E355" t="s">
        <v>94</v>
      </c>
      <c r="F355" s="52">
        <v>8096820404</v>
      </c>
      <c r="H355" t="s">
        <v>95</v>
      </c>
      <c r="O355" t="s">
        <v>96</v>
      </c>
      <c r="Q355">
        <f>--ISNUMBER(SEARCH('RC Checklist'!$G$2,A355))</f>
        <v>0</v>
      </c>
      <c r="R355" t="str">
        <f>IF(Q355=1,COUNTIF($Q$2:$Q355,1),"")</f>
        <v/>
      </c>
      <c r="S355" t="str">
        <f>IFERROR(INDEX(ClientInfo[Full Name], MATCH(ROWS($R$2:$R355),ClientInfo[frequency], 0)),"")</f>
        <v/>
      </c>
    </row>
    <row r="356" spans="1:19">
      <c r="A356" t="str">
        <f>TRIM(CONCATENATE(ClientInfo[[#This Row],[First Name]], " ",ClientInfo[[#This Row],[Last Name]]))</f>
        <v>FERGU Q N.</v>
      </c>
      <c r="B356" t="s">
        <v>2394</v>
      </c>
      <c r="D356" t="s">
        <v>2394</v>
      </c>
      <c r="F356" s="52">
        <v>4102520877</v>
      </c>
      <c r="H356" t="s">
        <v>2395</v>
      </c>
      <c r="O356" t="s">
        <v>2396</v>
      </c>
      <c r="Q356">
        <f>--ISNUMBER(SEARCH('RC Checklist'!$G$2,A356))</f>
        <v>0</v>
      </c>
      <c r="R356" t="str">
        <f>IF(Q356=1,COUNTIF($Q$2:$Q356,1),"")</f>
        <v/>
      </c>
      <c r="S356" t="str">
        <f>IFERROR(INDEX(ClientInfo[Full Name], MATCH(ROWS($R$2:$R356),ClientInfo[frequency], 0)),"")</f>
        <v/>
      </c>
    </row>
    <row r="357" spans="1:19">
      <c r="A357" t="str">
        <f>TRIM(CONCATENATE(ClientInfo[[#This Row],[First Name]], " ",ClientInfo[[#This Row],[Last Name]]))</f>
        <v>Ferguson Wesminster</v>
      </c>
      <c r="B357" t="s">
        <v>1229</v>
      </c>
      <c r="D357" t="s">
        <v>1229</v>
      </c>
      <c r="F357" s="52" t="s">
        <v>1230</v>
      </c>
      <c r="Q357">
        <f>--ISNUMBER(SEARCH('RC Checklist'!$G$2,A357))</f>
        <v>0</v>
      </c>
      <c r="R357" t="str">
        <f>IF(Q357=1,COUNTIF($Q$2:$Q357,1),"")</f>
        <v/>
      </c>
      <c r="S357" t="str">
        <f>IFERROR(INDEX(ClientInfo[Full Name], MATCH(ROWS($R$2:$R357),ClientInfo[frequency], 0)),"")</f>
        <v/>
      </c>
    </row>
    <row r="358" spans="1:19">
      <c r="A358" t="str">
        <f>TRIM(CONCATENATE(ClientInfo[[#This Row],[First Name]], " ",ClientInfo[[#This Row],[Last Name]]))</f>
        <v>Fernanda</v>
      </c>
      <c r="B358" t="s">
        <v>893</v>
      </c>
      <c r="P358" t="s">
        <v>894</v>
      </c>
      <c r="Q358">
        <f>--ISNUMBER(SEARCH('RC Checklist'!$G$2,A358))</f>
        <v>0</v>
      </c>
      <c r="R358" t="str">
        <f>IF(Q358=1,COUNTIF($Q$2:$Q358,1),"")</f>
        <v/>
      </c>
      <c r="S358" t="str">
        <f>IFERROR(INDEX(ClientInfo[Full Name], MATCH(ROWS($R$2:$R358),ClientInfo[frequency], 0)),"")</f>
        <v/>
      </c>
    </row>
    <row r="359" spans="1:19">
      <c r="A359" t="str">
        <f>TRIM(CONCATENATE(ClientInfo[[#This Row],[First Name]], " ",ClientInfo[[#This Row],[Last Name]]))</f>
        <v>First horizon</v>
      </c>
      <c r="B359" t="s">
        <v>2287</v>
      </c>
      <c r="C359" t="s">
        <v>2288</v>
      </c>
      <c r="F359" s="52">
        <v>4106677000</v>
      </c>
      <c r="Q359">
        <f>--ISNUMBER(SEARCH('RC Checklist'!$G$2,A359))</f>
        <v>0</v>
      </c>
      <c r="R359" t="str">
        <f>IF(Q359=1,COUNTIF($Q$2:$Q359,1),"")</f>
        <v/>
      </c>
      <c r="S359" t="str">
        <f>IFERROR(INDEX(ClientInfo[Full Name], MATCH(ROWS($R$2:$R359),ClientInfo[frequency], 0)),"")</f>
        <v/>
      </c>
    </row>
    <row r="360" spans="1:19">
      <c r="A360" t="str">
        <f>TRIM(CONCATENATE(ClientInfo[[#This Row],[First Name]], " ",ClientInfo[[#This Row],[Last Name]]))</f>
        <v>Flynn</v>
      </c>
      <c r="B360" t="s">
        <v>343</v>
      </c>
      <c r="Q360">
        <f>--ISNUMBER(SEARCH('RC Checklist'!$G$2,A360))</f>
        <v>0</v>
      </c>
      <c r="R360" t="str">
        <f>IF(Q360=1,COUNTIF($Q$2:$Q360,1),"")</f>
        <v/>
      </c>
      <c r="S360" t="str">
        <f>IFERROR(INDEX(ClientInfo[Full Name], MATCH(ROWS($R$2:$R360),ClientInfo[frequency], 0)),"")</f>
        <v/>
      </c>
    </row>
    <row r="361" spans="1:19">
      <c r="A361" t="str">
        <f>TRIM(CONCATENATE(ClientInfo[[#This Row],[First Name]], " ",ClientInfo[[#This Row],[Last Name]]))</f>
        <v>Francis kiesler</v>
      </c>
      <c r="B361" t="s">
        <v>1766</v>
      </c>
      <c r="C361" t="s">
        <v>1767</v>
      </c>
      <c r="F361" s="52">
        <v>8184157866</v>
      </c>
      <c r="Q361">
        <f>--ISNUMBER(SEARCH('RC Checklist'!$G$2,A361))</f>
        <v>0</v>
      </c>
      <c r="R361" t="str">
        <f>IF(Q361=1,COUNTIF($Q$2:$Q361,1),"")</f>
        <v/>
      </c>
      <c r="S361" t="str">
        <f>IFERROR(INDEX(ClientInfo[Full Name], MATCH(ROWS($R$2:$R361),ClientInfo[frequency], 0)),"")</f>
        <v/>
      </c>
    </row>
    <row r="362" spans="1:19">
      <c r="A362" t="str">
        <f>TRIM(CONCATENATE(ClientInfo[[#This Row],[First Name]], " ",ClientInfo[[#This Row],[Last Name]]))</f>
        <v>Frank</v>
      </c>
      <c r="B362" t="s">
        <v>71</v>
      </c>
      <c r="D362" t="s">
        <v>152</v>
      </c>
      <c r="F362" s="52" t="s">
        <v>1166</v>
      </c>
      <c r="G362" s="52" t="s">
        <v>154</v>
      </c>
      <c r="Q362">
        <f>--ISNUMBER(SEARCH('RC Checklist'!$G$2,A362))</f>
        <v>0</v>
      </c>
      <c r="R362" t="str">
        <f>IF(Q362=1,COUNTIF($Q$2:$Q362,1),"")</f>
        <v/>
      </c>
      <c r="S362" t="str">
        <f>IFERROR(INDEX(ClientInfo[Full Name], MATCH(ROWS($R$2:$R362),ClientInfo[frequency], 0)),"")</f>
        <v/>
      </c>
    </row>
    <row r="363" spans="1:19">
      <c r="A363" t="str">
        <f>TRIM(CONCATENATE(ClientInfo[[#This Row],[First Name]], " ",ClientInfo[[#This Row],[Last Name]]))</f>
        <v>Frank</v>
      </c>
      <c r="B363" t="s">
        <v>71</v>
      </c>
      <c r="D363" t="s">
        <v>2551</v>
      </c>
      <c r="Q363">
        <f>--ISNUMBER(SEARCH('RC Checklist'!$G$2,A363))</f>
        <v>0</v>
      </c>
      <c r="R363" t="str">
        <f>IF(Q363=1,COUNTIF($Q$2:$Q363,1),"")</f>
        <v/>
      </c>
      <c r="S363" t="str">
        <f>IFERROR(INDEX(ClientInfo[Full Name], MATCH(ROWS($R$2:$R363),ClientInfo[frequency], 0)),"")</f>
        <v/>
      </c>
    </row>
    <row r="364" spans="1:19">
      <c r="A364" t="str">
        <f>TRIM(CONCATENATE(ClientInfo[[#This Row],[First Name]], " ",ClientInfo[[#This Row],[Last Name]]))</f>
        <v>Frank &amp; Drue Hodgetts</v>
      </c>
      <c r="B364" t="s">
        <v>1843</v>
      </c>
      <c r="C364" t="s">
        <v>1844</v>
      </c>
      <c r="H364" t="s">
        <v>1845</v>
      </c>
      <c r="O364" t="s">
        <v>1846</v>
      </c>
      <c r="Q364">
        <f>--ISNUMBER(SEARCH('RC Checklist'!$G$2,A364))</f>
        <v>0</v>
      </c>
      <c r="R364" t="str">
        <f>IF(Q364=1,COUNTIF($Q$2:$Q364,1),"")</f>
        <v/>
      </c>
      <c r="S364" t="str">
        <f>IFERROR(INDEX(ClientInfo[Full Name], MATCH(ROWS($R$2:$R364),ClientInfo[frequency], 0)),"")</f>
        <v/>
      </c>
    </row>
    <row r="365" spans="1:19">
      <c r="A365" t="str">
        <f>TRIM(CONCATENATE(ClientInfo[[#This Row],[First Name]], " ",ClientInfo[[#This Row],[Last Name]]))</f>
        <v>Frank A. Cirincione</v>
      </c>
      <c r="B365" t="s">
        <v>658</v>
      </c>
      <c r="C365" t="s">
        <v>659</v>
      </c>
      <c r="E365" t="s">
        <v>660</v>
      </c>
      <c r="F365" s="52" t="s">
        <v>661</v>
      </c>
      <c r="H365" t="s">
        <v>662</v>
      </c>
      <c r="O365" t="s">
        <v>663</v>
      </c>
      <c r="Q365">
        <f>--ISNUMBER(SEARCH('RC Checklist'!$G$2,A365))</f>
        <v>0</v>
      </c>
      <c r="R365" t="str">
        <f>IF(Q365=1,COUNTIF($Q$2:$Q365,1),"")</f>
        <v/>
      </c>
      <c r="S365" t="str">
        <f>IFERROR(INDEX(ClientInfo[Full Name], MATCH(ROWS($R$2:$R365),ClientInfo[frequency], 0)),"")</f>
        <v/>
      </c>
    </row>
    <row r="366" spans="1:19">
      <c r="A366" t="str">
        <f>TRIM(CONCATENATE(ClientInfo[[#This Row],[First Name]], " ",ClientInfo[[#This Row],[Last Name]]))</f>
        <v>Frank Foyer Table</v>
      </c>
      <c r="B366" t="s">
        <v>71</v>
      </c>
      <c r="C366" t="s">
        <v>1927</v>
      </c>
      <c r="Q366">
        <f>--ISNUMBER(SEARCH('RC Checklist'!$G$2,A366))</f>
        <v>0</v>
      </c>
      <c r="R366" t="str">
        <f>IF(Q366=1,COUNTIF($Q$2:$Q366,1),"")</f>
        <v/>
      </c>
      <c r="S366" t="str">
        <f>IFERROR(INDEX(ClientInfo[Full Name], MATCH(ROWS($R$2:$R366),ClientInfo[frequency], 0)),"")</f>
        <v/>
      </c>
    </row>
    <row r="367" spans="1:19">
      <c r="A367" t="str">
        <f>TRIM(CONCATENATE(ClientInfo[[#This Row],[First Name]], " ",ClientInfo[[#This Row],[Last Name]]))</f>
        <v>Frank graz</v>
      </c>
      <c r="B367" t="s">
        <v>71</v>
      </c>
      <c r="C367" t="s">
        <v>319</v>
      </c>
      <c r="F367" s="52">
        <v>4432777777</v>
      </c>
      <c r="Q367">
        <f>--ISNUMBER(SEARCH('RC Checklist'!$G$2,A367))</f>
        <v>0</v>
      </c>
      <c r="R367" t="str">
        <f>IF(Q367=1,COUNTIF($Q$2:$Q367,1),"")</f>
        <v/>
      </c>
      <c r="S367" t="str">
        <f>IFERROR(INDEX(ClientInfo[Full Name], MATCH(ROWS($R$2:$R367),ClientInfo[frequency], 0)),"")</f>
        <v/>
      </c>
    </row>
    <row r="368" spans="1:19">
      <c r="A368" t="str">
        <f>TRIM(CONCATENATE(ClientInfo[[#This Row],[First Name]], " ",ClientInfo[[#This Row],[Last Name]]))</f>
        <v>Frank Sweeney</v>
      </c>
      <c r="B368" t="s">
        <v>71</v>
      </c>
      <c r="C368" t="s">
        <v>72</v>
      </c>
      <c r="D368" t="s">
        <v>73</v>
      </c>
      <c r="E368" t="s">
        <v>74</v>
      </c>
      <c r="F368" s="52">
        <v>8004166771</v>
      </c>
      <c r="G368" s="52">
        <v>6076</v>
      </c>
      <c r="H368" t="s">
        <v>75</v>
      </c>
      <c r="O368" t="s">
        <v>76</v>
      </c>
      <c r="P368" t="s">
        <v>77</v>
      </c>
      <c r="Q368">
        <f>--ISNUMBER(SEARCH('RC Checklist'!$G$2,A368))</f>
        <v>0</v>
      </c>
      <c r="R368" t="str">
        <f>IF(Q368=1,COUNTIF($Q$2:$Q368,1),"")</f>
        <v/>
      </c>
      <c r="S368" t="str">
        <f>IFERROR(INDEX(ClientInfo[Full Name], MATCH(ROWS($R$2:$R368),ClientInfo[frequency], 0)),"")</f>
        <v/>
      </c>
    </row>
    <row r="369" spans="1:19">
      <c r="A369" t="str">
        <f>TRIM(CONCATENATE(ClientInfo[[#This Row],[First Name]], " ",ClientInfo[[#This Row],[Last Name]]))</f>
        <v>Frank Valenti</v>
      </c>
      <c r="B369" t="s">
        <v>71</v>
      </c>
      <c r="C369" t="s">
        <v>2544</v>
      </c>
      <c r="F369" s="52" t="s">
        <v>2545</v>
      </c>
      <c r="H369" t="s">
        <v>2546</v>
      </c>
      <c r="Q369">
        <f>--ISNUMBER(SEARCH('RC Checklist'!$G$2,A369))</f>
        <v>0</v>
      </c>
      <c r="R369" t="str">
        <f>IF(Q369=1,COUNTIF($Q$2:$Q369,1),"")</f>
        <v/>
      </c>
      <c r="S369" t="str">
        <f>IFERROR(INDEX(ClientInfo[Full Name], MATCH(ROWS($R$2:$R369),ClientInfo[frequency], 0)),"")</f>
        <v/>
      </c>
    </row>
    <row r="370" spans="1:19">
      <c r="A370" t="str">
        <f>TRIM(CONCATENATE(ClientInfo[[#This Row],[First Name]], " ",ClientInfo[[#This Row],[Last Name]]))</f>
        <v>Fraternity Federal</v>
      </c>
      <c r="B370" t="s">
        <v>1479</v>
      </c>
      <c r="D370" t="s">
        <v>1479</v>
      </c>
      <c r="F370" s="52" t="s">
        <v>1480</v>
      </c>
      <c r="Q370">
        <f>--ISNUMBER(SEARCH('RC Checklist'!$G$2,A370))</f>
        <v>0</v>
      </c>
      <c r="R370" t="str">
        <f>IF(Q370=1,COUNTIF($Q$2:$Q370,1),"")</f>
        <v/>
      </c>
      <c r="S370" t="str">
        <f>IFERROR(INDEX(ClientInfo[Full Name], MATCH(ROWS($R$2:$R370),ClientInfo[frequency], 0)),"")</f>
        <v/>
      </c>
    </row>
    <row r="371" spans="1:19">
      <c r="A371" t="str">
        <f>TRIM(CONCATENATE(ClientInfo[[#This Row],[First Name]], " ",ClientInfo[[#This Row],[Last Name]]))</f>
        <v>Fred Graefe</v>
      </c>
      <c r="B371" t="s">
        <v>2587</v>
      </c>
      <c r="C371" t="s">
        <v>2375</v>
      </c>
      <c r="F371" s="52" t="s">
        <v>2588</v>
      </c>
      <c r="Q371">
        <f>--ISNUMBER(SEARCH('RC Checklist'!$G$2,A371))</f>
        <v>0</v>
      </c>
      <c r="R371" t="str">
        <f>IF(Q371=1,COUNTIF($Q$2:$Q371,1),"")</f>
        <v/>
      </c>
      <c r="S371" t="str">
        <f>IFERROR(INDEX(ClientInfo[Full Name], MATCH(ROWS($R$2:$R371),ClientInfo[frequency], 0)),"")</f>
        <v/>
      </c>
    </row>
    <row r="372" spans="1:19">
      <c r="A372" t="str">
        <f>TRIM(CONCATENATE(ClientInfo[[#This Row],[First Name]], " ",ClientInfo[[#This Row],[Last Name]]))</f>
        <v>Freddy Odonnel</v>
      </c>
      <c r="B372" t="s">
        <v>1723</v>
      </c>
      <c r="C372" t="s">
        <v>1724</v>
      </c>
      <c r="F372" s="52" t="s">
        <v>1725</v>
      </c>
      <c r="Q372">
        <f>--ISNUMBER(SEARCH('RC Checklist'!$G$2,A372))</f>
        <v>0</v>
      </c>
      <c r="R372" t="str">
        <f>IF(Q372=1,COUNTIF($Q$2:$Q372,1),"")</f>
        <v/>
      </c>
      <c r="S372" t="str">
        <f>IFERROR(INDEX(ClientInfo[Full Name], MATCH(ROWS($R$2:$R372),ClientInfo[frequency], 0)),"")</f>
        <v/>
      </c>
    </row>
    <row r="373" spans="1:19">
      <c r="A373" t="str">
        <f>TRIM(CONCATENATE(ClientInfo[[#This Row],[First Name]], " ",ClientInfo[[#This Row],[Last Name]]))</f>
        <v>Frieda Nicholls</v>
      </c>
      <c r="B373" t="s">
        <v>55</v>
      </c>
      <c r="F373" s="52" t="s">
        <v>2953</v>
      </c>
      <c r="H373" t="s">
        <v>56</v>
      </c>
      <c r="O373" t="s">
        <v>57</v>
      </c>
      <c r="P373" t="s">
        <v>58</v>
      </c>
      <c r="Q373">
        <f>--ISNUMBER(SEARCH('RC Checklist'!$G$2,A373))</f>
        <v>0</v>
      </c>
      <c r="R373" t="str">
        <f>IF(Q373=1,COUNTIF($Q$2:$Q373,1),"")</f>
        <v/>
      </c>
      <c r="S373" t="str">
        <f>IFERROR(INDEX(ClientInfo[Full Name], MATCH(ROWS($R$2:$R373),ClientInfo[frequency], 0)),"")</f>
        <v/>
      </c>
    </row>
    <row r="374" spans="1:19">
      <c r="A374" t="str">
        <f>TRIM(CONCATENATE(ClientInfo[[#This Row],[First Name]], " ",ClientInfo[[#This Row],[Last Name]]))</f>
        <v>Gabriel</v>
      </c>
      <c r="B374" t="s">
        <v>1620</v>
      </c>
      <c r="D374" t="s">
        <v>1621</v>
      </c>
      <c r="O374" t="s">
        <v>1622</v>
      </c>
      <c r="Q374">
        <f>--ISNUMBER(SEARCH('RC Checklist'!$G$2,A374))</f>
        <v>0</v>
      </c>
      <c r="R374" t="str">
        <f>IF(Q374=1,COUNTIF($Q$2:$Q374,1),"")</f>
        <v/>
      </c>
      <c r="S374" t="str">
        <f>IFERROR(INDEX(ClientInfo[Full Name], MATCH(ROWS($R$2:$R374),ClientInfo[frequency], 0)),"")</f>
        <v/>
      </c>
    </row>
    <row r="375" spans="1:19">
      <c r="A375" t="str">
        <f>TRIM(CONCATENATE(ClientInfo[[#This Row],[First Name]], " ",ClientInfo[[#This Row],[Last Name]]))</f>
        <v>Gabriel Rodriguec</v>
      </c>
      <c r="B375" t="s">
        <v>1620</v>
      </c>
      <c r="C375" t="s">
        <v>2635</v>
      </c>
      <c r="D375" t="s">
        <v>1859</v>
      </c>
      <c r="F375" s="52" t="s">
        <v>2636</v>
      </c>
      <c r="Q375">
        <f>--ISNUMBER(SEARCH('RC Checklist'!$G$2,A375))</f>
        <v>0</v>
      </c>
      <c r="R375" t="str">
        <f>IF(Q375=1,COUNTIF($Q$2:$Q375,1),"")</f>
        <v/>
      </c>
      <c r="S375" t="str">
        <f>IFERROR(INDEX(ClientInfo[Full Name], MATCH(ROWS($R$2:$R375),ClientInfo[frequency], 0)),"")</f>
        <v/>
      </c>
    </row>
    <row r="376" spans="1:19">
      <c r="A376" t="str">
        <f>TRIM(CONCATENATE(ClientInfo[[#This Row],[First Name]], " ",ClientInfo[[#This Row],[Last Name]]))</f>
        <v>Garage Doors</v>
      </c>
      <c r="B376" t="s">
        <v>1040</v>
      </c>
      <c r="D376" t="s">
        <v>1041</v>
      </c>
      <c r="F376" s="52" t="s">
        <v>1042</v>
      </c>
      <c r="Q376">
        <f>--ISNUMBER(SEARCH('RC Checklist'!$G$2,A376))</f>
        <v>0</v>
      </c>
      <c r="R376" t="str">
        <f>IF(Q376=1,COUNTIF($Q$2:$Q376,1),"")</f>
        <v/>
      </c>
      <c r="S376" t="str">
        <f>IFERROR(INDEX(ClientInfo[Full Name], MATCH(ROWS($R$2:$R376),ClientInfo[frequency], 0)),"")</f>
        <v/>
      </c>
    </row>
    <row r="377" spans="1:19">
      <c r="A377" t="str">
        <f>TRIM(CONCATENATE(ClientInfo[[#This Row],[First Name]], " ",ClientInfo[[#This Row],[Last Name]]))</f>
        <v>Garrett Pfeifer</v>
      </c>
      <c r="B377" t="s">
        <v>1380</v>
      </c>
      <c r="C377" t="s">
        <v>1381</v>
      </c>
      <c r="F377" s="52">
        <v>14437424490</v>
      </c>
      <c r="O377" t="s">
        <v>1382</v>
      </c>
      <c r="Q377">
        <f>--ISNUMBER(SEARCH('RC Checklist'!$G$2,A377))</f>
        <v>0</v>
      </c>
      <c r="R377" t="str">
        <f>IF(Q377=1,COUNTIF($Q$2:$Q377,1),"")</f>
        <v/>
      </c>
      <c r="S377" t="str">
        <f>IFERROR(INDEX(ClientInfo[Full Name], MATCH(ROWS($R$2:$R377),ClientInfo[frequency], 0)),"")</f>
        <v/>
      </c>
    </row>
    <row r="378" spans="1:19">
      <c r="A378" t="str">
        <f>TRIM(CONCATENATE(ClientInfo[[#This Row],[First Name]], " ",ClientInfo[[#This Row],[Last Name]]))</f>
        <v>Garrety Glass Glass</v>
      </c>
      <c r="B378" t="s">
        <v>152</v>
      </c>
      <c r="C378" t="s">
        <v>153</v>
      </c>
      <c r="D378" t="s">
        <v>152</v>
      </c>
      <c r="F378" s="52" t="s">
        <v>154</v>
      </c>
      <c r="H378" t="s">
        <v>155</v>
      </c>
      <c r="O378" t="s">
        <v>156</v>
      </c>
      <c r="Q378">
        <f>--ISNUMBER(SEARCH('RC Checklist'!$G$2,A378))</f>
        <v>0</v>
      </c>
      <c r="R378" t="str">
        <f>IF(Q378=1,COUNTIF($Q$2:$Q378,1),"")</f>
        <v/>
      </c>
      <c r="S378" t="str">
        <f>IFERROR(INDEX(ClientInfo[Full Name], MATCH(ROWS($R$2:$R378),ClientInfo[frequency], 0)),"")</f>
        <v/>
      </c>
    </row>
    <row r="379" spans="1:19">
      <c r="A379" t="str">
        <f>TRIM(CONCATENATE(ClientInfo[[#This Row],[First Name]], " ",ClientInfo[[#This Row],[Last Name]]))</f>
        <v>Gary</v>
      </c>
      <c r="B379" t="s">
        <v>1306</v>
      </c>
      <c r="O379" t="s">
        <v>1657</v>
      </c>
      <c r="Q379">
        <f>--ISNUMBER(SEARCH('RC Checklist'!$G$2,A379))</f>
        <v>0</v>
      </c>
      <c r="R379" t="str">
        <f>IF(Q379=1,COUNTIF($Q$2:$Q379,1),"")</f>
        <v/>
      </c>
      <c r="S379" t="str">
        <f>IFERROR(INDEX(ClientInfo[Full Name], MATCH(ROWS($R$2:$R379),ClientInfo[frequency], 0)),"")</f>
        <v/>
      </c>
    </row>
    <row r="380" spans="1:19">
      <c r="A380" t="str">
        <f>TRIM(CONCATENATE(ClientInfo[[#This Row],[First Name]], " ",ClientInfo[[#This Row],[Last Name]]))</f>
        <v>Gary</v>
      </c>
      <c r="B380" t="s">
        <v>1306</v>
      </c>
      <c r="D380" t="s">
        <v>2478</v>
      </c>
      <c r="Q380">
        <f>--ISNUMBER(SEARCH('RC Checklist'!$G$2,A380))</f>
        <v>0</v>
      </c>
      <c r="R380" t="str">
        <f>IF(Q380=1,COUNTIF($Q$2:$Q380,1),"")</f>
        <v/>
      </c>
      <c r="S380" t="str">
        <f>IFERROR(INDEX(ClientInfo[Full Name], MATCH(ROWS($R$2:$R380),ClientInfo[frequency], 0)),"")</f>
        <v/>
      </c>
    </row>
    <row r="381" spans="1:19">
      <c r="A381" t="str">
        <f>TRIM(CONCATENATE(ClientInfo[[#This Row],[First Name]], " ",ClientInfo[[#This Row],[Last Name]]))</f>
        <v>Gary &amp; Julianna Stein</v>
      </c>
      <c r="B381" t="s">
        <v>645</v>
      </c>
      <c r="C381" t="s">
        <v>646</v>
      </c>
      <c r="O381" t="s">
        <v>647</v>
      </c>
      <c r="P381">
        <v>3940</v>
      </c>
      <c r="Q381">
        <f>--ISNUMBER(SEARCH('RC Checklist'!$G$2,A381))</f>
        <v>0</v>
      </c>
      <c r="R381" t="str">
        <f>IF(Q381=1,COUNTIF($Q$2:$Q381,1),"")</f>
        <v/>
      </c>
      <c r="S381" t="str">
        <f>IFERROR(INDEX(ClientInfo[Full Name], MATCH(ROWS($R$2:$R381),ClientInfo[frequency], 0)),"")</f>
        <v/>
      </c>
    </row>
    <row r="382" spans="1:19">
      <c r="A382" t="str">
        <f>TRIM(CONCATENATE(ClientInfo[[#This Row],[First Name]], " ",ClientInfo[[#This Row],[Last Name]]))</f>
        <v>Gary &amp; Pamela Jackson &amp; Gilmour</v>
      </c>
      <c r="B382" t="s">
        <v>2576</v>
      </c>
      <c r="C382" t="s">
        <v>2577</v>
      </c>
      <c r="F382" s="52">
        <v>4108176778</v>
      </c>
      <c r="O382" t="s">
        <v>2578</v>
      </c>
      <c r="Q382">
        <f>--ISNUMBER(SEARCH('RC Checklist'!$G$2,A382))</f>
        <v>0</v>
      </c>
      <c r="R382" t="str">
        <f>IF(Q382=1,COUNTIF($Q$2:$Q382,1),"")</f>
        <v/>
      </c>
      <c r="S382" t="str">
        <f>IFERROR(INDEX(ClientInfo[Full Name], MATCH(ROWS($R$2:$R382),ClientInfo[frequency], 0)),"")</f>
        <v/>
      </c>
    </row>
    <row r="383" spans="1:19">
      <c r="A383" t="str">
        <f>TRIM(CONCATENATE(ClientInfo[[#This Row],[First Name]], " ",ClientInfo[[#This Row],[Last Name]]))</f>
        <v>Gary Jackson</v>
      </c>
      <c r="B383" t="s">
        <v>1306</v>
      </c>
      <c r="C383" t="s">
        <v>2608</v>
      </c>
      <c r="Q383">
        <f>--ISNUMBER(SEARCH('RC Checklist'!$G$2,A383))</f>
        <v>0</v>
      </c>
      <c r="R383" t="str">
        <f>IF(Q383=1,COUNTIF($Q$2:$Q383,1),"")</f>
        <v/>
      </c>
      <c r="S383" t="str">
        <f>IFERROR(INDEX(ClientInfo[Full Name], MATCH(ROWS($R$2:$R383),ClientInfo[frequency], 0)),"")</f>
        <v/>
      </c>
    </row>
    <row r="384" spans="1:19">
      <c r="A384" t="str">
        <f>TRIM(CONCATENATE(ClientInfo[[#This Row],[First Name]], " ",ClientInfo[[#This Row],[Last Name]]))</f>
        <v>Gary Nesbitt</v>
      </c>
      <c r="B384" t="s">
        <v>1306</v>
      </c>
      <c r="C384" t="s">
        <v>1307</v>
      </c>
      <c r="F384" s="52">
        <v>4433867977</v>
      </c>
      <c r="H384" t="s">
        <v>1308</v>
      </c>
      <c r="Q384">
        <f>--ISNUMBER(SEARCH('RC Checklist'!$G$2,A384))</f>
        <v>0</v>
      </c>
      <c r="R384" t="str">
        <f>IF(Q384=1,COUNTIF($Q$2:$Q384,1),"")</f>
        <v/>
      </c>
      <c r="S384" t="str">
        <f>IFERROR(INDEX(ClientInfo[Full Name], MATCH(ROWS($R$2:$R384),ClientInfo[frequency], 0)),"")</f>
        <v/>
      </c>
    </row>
    <row r="385" spans="1:19">
      <c r="A385" t="str">
        <f>TRIM(CONCATENATE(ClientInfo[[#This Row],[First Name]], " ",ClientInfo[[#This Row],[Last Name]]))</f>
        <v>Gary Walter</v>
      </c>
      <c r="B385" t="s">
        <v>1306</v>
      </c>
      <c r="C385" t="s">
        <v>2098</v>
      </c>
      <c r="D385" t="s">
        <v>2099</v>
      </c>
      <c r="E385" t="s">
        <v>1818</v>
      </c>
      <c r="F385" s="52">
        <v>2406747648</v>
      </c>
      <c r="H385" t="s">
        <v>2100</v>
      </c>
      <c r="O385" t="s">
        <v>2101</v>
      </c>
      <c r="Q385">
        <f>--ISNUMBER(SEARCH('RC Checklist'!$G$2,A385))</f>
        <v>0</v>
      </c>
      <c r="R385" t="str">
        <f>IF(Q385=1,COUNTIF($Q$2:$Q385,1),"")</f>
        <v/>
      </c>
      <c r="S385" t="str">
        <f>IFERROR(INDEX(ClientInfo[Full Name], MATCH(ROWS($R$2:$R385),ClientInfo[frequency], 0)),"")</f>
        <v/>
      </c>
    </row>
    <row r="386" spans="1:19">
      <c r="A386" t="str">
        <f>TRIM(CONCATENATE(ClientInfo[[#This Row],[First Name]], " ",ClientInfo[[#This Row],[Last Name]]))</f>
        <v>Gelson Gil</v>
      </c>
      <c r="B386" t="s">
        <v>2555</v>
      </c>
      <c r="C386" t="s">
        <v>2556</v>
      </c>
      <c r="F386" s="52">
        <v>6107754221</v>
      </c>
      <c r="Q386">
        <f>--ISNUMBER(SEARCH('RC Checklist'!$G$2,A386))</f>
        <v>0</v>
      </c>
      <c r="R386" t="str">
        <f>IF(Q386=1,COUNTIF($Q$2:$Q386,1),"")</f>
        <v/>
      </c>
      <c r="S386" t="str">
        <f>IFERROR(INDEX(ClientInfo[Full Name], MATCH(ROWS($R$2:$R386),ClientInfo[frequency], 0)),"")</f>
        <v/>
      </c>
    </row>
    <row r="387" spans="1:19">
      <c r="A387" t="str">
        <f>TRIM(CONCATENATE(ClientInfo[[#This Row],[First Name]], " ",ClientInfo[[#This Row],[Last Name]]))</f>
        <v>Gene Molkau</v>
      </c>
      <c r="B387" t="s">
        <v>936</v>
      </c>
      <c r="C387" t="s">
        <v>937</v>
      </c>
      <c r="E387" t="s">
        <v>938</v>
      </c>
      <c r="F387" s="52">
        <v>4436300333</v>
      </c>
      <c r="G387" s="52">
        <v>4105124779</v>
      </c>
      <c r="H387" t="s">
        <v>939</v>
      </c>
      <c r="O387" t="s">
        <v>2959</v>
      </c>
      <c r="Q387">
        <f>--ISNUMBER(SEARCH('RC Checklist'!$G$2,A387))</f>
        <v>0</v>
      </c>
      <c r="R387" t="str">
        <f>IF(Q387=1,COUNTIF($Q$2:$Q387,1),"")</f>
        <v/>
      </c>
      <c r="S387" t="str">
        <f>IFERROR(INDEX(ClientInfo[Full Name], MATCH(ROWS($R$2:$R387),ClientInfo[frequency], 0)),"")</f>
        <v/>
      </c>
    </row>
    <row r="388" spans="1:19">
      <c r="A388" t="str">
        <f>TRIM(CONCATENATE(ClientInfo[[#This Row],[First Name]], " ",ClientInfo[[#This Row],[Last Name]]))</f>
        <v>Genie</v>
      </c>
      <c r="B388" t="s">
        <v>539</v>
      </c>
      <c r="F388" s="52">
        <v>6038674835</v>
      </c>
      <c r="Q388">
        <f>--ISNUMBER(SEARCH('RC Checklist'!$G$2,A388))</f>
        <v>0</v>
      </c>
      <c r="R388" t="str">
        <f>IF(Q388=1,COUNTIF($Q$2:$Q388,1),"")</f>
        <v/>
      </c>
      <c r="S388" t="str">
        <f>IFERROR(INDEX(ClientInfo[Full Name], MATCH(ROWS($R$2:$R388),ClientInfo[frequency], 0)),"")</f>
        <v/>
      </c>
    </row>
    <row r="389" spans="1:19">
      <c r="A389" t="str">
        <f>TRIM(CONCATENATE(ClientInfo[[#This Row],[First Name]], " ",ClientInfo[[#This Row],[Last Name]]))</f>
        <v>Genisis</v>
      </c>
      <c r="B389" t="s">
        <v>2672</v>
      </c>
      <c r="D389" t="s">
        <v>2672</v>
      </c>
      <c r="F389" s="52" t="s">
        <v>2673</v>
      </c>
      <c r="Q389">
        <f>--ISNUMBER(SEARCH('RC Checklist'!$G$2,A389))</f>
        <v>0</v>
      </c>
      <c r="R389" t="str">
        <f>IF(Q389=1,COUNTIF($Q$2:$Q389,1),"")</f>
        <v/>
      </c>
      <c r="S389" t="str">
        <f>IFERROR(INDEX(ClientInfo[Full Name], MATCH(ROWS($R$2:$R389),ClientInfo[frequency], 0)),"")</f>
        <v/>
      </c>
    </row>
    <row r="390" spans="1:19">
      <c r="A390" t="str">
        <f>TRIM(CONCATENATE(ClientInfo[[#This Row],[First Name]], " ",ClientInfo[[#This Row],[Last Name]]))</f>
        <v>Geoff</v>
      </c>
      <c r="B390" t="s">
        <v>2409</v>
      </c>
      <c r="F390" s="52" t="s">
        <v>2410</v>
      </c>
      <c r="Q390">
        <f>--ISNUMBER(SEARCH('RC Checklist'!$G$2,A390))</f>
        <v>0</v>
      </c>
      <c r="R390" t="str">
        <f>IF(Q390=1,COUNTIF($Q$2:$Q390,1),"")</f>
        <v/>
      </c>
      <c r="S390" t="str">
        <f>IFERROR(INDEX(ClientInfo[Full Name], MATCH(ROWS($R$2:$R390),ClientInfo[frequency], 0)),"")</f>
        <v/>
      </c>
    </row>
    <row r="391" spans="1:19">
      <c r="A391" t="str">
        <f>TRIM(CONCATENATE(ClientInfo[[#This Row],[First Name]], " ",ClientInfo[[#This Row],[Last Name]]))</f>
        <v>George</v>
      </c>
      <c r="B391" t="s">
        <v>2855</v>
      </c>
      <c r="D391" t="s">
        <v>2856</v>
      </c>
      <c r="F391" s="52" t="s">
        <v>2857</v>
      </c>
      <c r="Q391">
        <f>--ISNUMBER(SEARCH('RC Checklist'!$G$2,A391))</f>
        <v>0</v>
      </c>
      <c r="R391" t="str">
        <f>IF(Q391=1,COUNTIF($Q$2:$Q391,1),"")</f>
        <v/>
      </c>
      <c r="S391" t="str">
        <f>IFERROR(INDEX(ClientInfo[Full Name], MATCH(ROWS($R$2:$R391),ClientInfo[frequency], 0)),"")</f>
        <v/>
      </c>
    </row>
    <row r="392" spans="1:19">
      <c r="A392" t="str">
        <f>TRIM(CONCATENATE(ClientInfo[[#This Row],[First Name]], " ",ClientInfo[[#This Row],[Last Name]]))</f>
        <v>Geri Hamed</v>
      </c>
      <c r="B392" t="s">
        <v>1583</v>
      </c>
      <c r="C392" t="s">
        <v>984</v>
      </c>
      <c r="F392" s="52" t="s">
        <v>1584</v>
      </c>
      <c r="G392" s="52">
        <v>4102416602</v>
      </c>
      <c r="O392" t="s">
        <v>2958</v>
      </c>
      <c r="P392" t="s">
        <v>1585</v>
      </c>
      <c r="Q392">
        <f>--ISNUMBER(SEARCH('RC Checklist'!$G$2,A392))</f>
        <v>0</v>
      </c>
      <c r="R392" t="str">
        <f>IF(Q392=1,COUNTIF($Q$2:$Q392,1),"")</f>
        <v/>
      </c>
      <c r="S392" t="str">
        <f>IFERROR(INDEX(ClientInfo[Full Name], MATCH(ROWS($R$2:$R392),ClientInfo[frequency], 0)),"")</f>
        <v/>
      </c>
    </row>
    <row r="393" spans="1:19">
      <c r="A393" t="str">
        <f>TRIM(CONCATENATE(ClientInfo[[#This Row],[First Name]], " ",ClientInfo[[#This Row],[Last Name]]))</f>
        <v>Gibbles upholstery</v>
      </c>
      <c r="B393" t="s">
        <v>920</v>
      </c>
      <c r="C393" t="s">
        <v>921</v>
      </c>
      <c r="F393" s="52">
        <v>7176654772</v>
      </c>
      <c r="Q393">
        <f>--ISNUMBER(SEARCH('RC Checklist'!$G$2,A393))</f>
        <v>0</v>
      </c>
      <c r="R393" t="str">
        <f>IF(Q393=1,COUNTIF($Q$2:$Q393,1),"")</f>
        <v/>
      </c>
      <c r="S393" t="str">
        <f>IFERROR(INDEX(ClientInfo[Full Name], MATCH(ROWS($R$2:$R393),ClientInfo[frequency], 0)),"")</f>
        <v/>
      </c>
    </row>
    <row r="394" spans="1:19">
      <c r="A394" t="str">
        <f>TRIM(CONCATENATE(ClientInfo[[#This Row],[First Name]], " ",ClientInfo[[#This Row],[Last Name]]))</f>
        <v>Gilbert</v>
      </c>
      <c r="B394" t="s">
        <v>1043</v>
      </c>
      <c r="F394" s="52">
        <v>4434913202</v>
      </c>
      <c r="Q394">
        <f>--ISNUMBER(SEARCH('RC Checklist'!$G$2,A394))</f>
        <v>0</v>
      </c>
      <c r="R394" t="str">
        <f>IF(Q394=1,COUNTIF($Q$2:$Q394,1),"")</f>
        <v/>
      </c>
      <c r="S394" t="str">
        <f>IFERROR(INDEX(ClientInfo[Full Name], MATCH(ROWS($R$2:$R394),ClientInfo[frequency], 0)),"")</f>
        <v/>
      </c>
    </row>
    <row r="395" spans="1:19">
      <c r="A395" t="str">
        <f>TRIM(CONCATENATE(ClientInfo[[#This Row],[First Name]], " ",ClientInfo[[#This Row],[Last Name]]))</f>
        <v>Gina Socha</v>
      </c>
      <c r="B395" t="s">
        <v>1390</v>
      </c>
      <c r="C395" t="s">
        <v>1391</v>
      </c>
      <c r="O395" t="s">
        <v>1392</v>
      </c>
      <c r="Q395">
        <f>--ISNUMBER(SEARCH('RC Checklist'!$G$2,A395))</f>
        <v>0</v>
      </c>
      <c r="R395" t="str">
        <f>IF(Q395=1,COUNTIF($Q$2:$Q395,1),"")</f>
        <v/>
      </c>
      <c r="S395" t="str">
        <f>IFERROR(INDEX(ClientInfo[Full Name], MATCH(ROWS($R$2:$R395),ClientInfo[frequency], 0)),"")</f>
        <v/>
      </c>
    </row>
    <row r="396" spans="1:19">
      <c r="A396" t="str">
        <f>TRIM(CONCATENATE(ClientInfo[[#This Row],[First Name]], " ",ClientInfo[[#This Row],[Last Name]]))</f>
        <v>Glass America</v>
      </c>
      <c r="B396" t="s">
        <v>722</v>
      </c>
      <c r="D396" t="s">
        <v>722</v>
      </c>
      <c r="F396" s="52" t="s">
        <v>723</v>
      </c>
      <c r="O396" t="s">
        <v>724</v>
      </c>
      <c r="Q396">
        <f>--ISNUMBER(SEARCH('RC Checklist'!$G$2,A396))</f>
        <v>0</v>
      </c>
      <c r="R396" t="str">
        <f>IF(Q396=1,COUNTIF($Q$2:$Q396,1),"")</f>
        <v/>
      </c>
      <c r="S396" t="str">
        <f>IFERROR(INDEX(ClientInfo[Full Name], MATCH(ROWS($R$2:$R396),ClientInfo[frequency], 0)),"")</f>
        <v/>
      </c>
    </row>
    <row r="397" spans="1:19">
      <c r="A397" t="str">
        <f>TRIM(CONCATENATE(ClientInfo[[#This Row],[First Name]], " ",ClientInfo[[#This Row],[Last Name]]))</f>
        <v>Glass masters</v>
      </c>
      <c r="B397" t="s">
        <v>153</v>
      </c>
      <c r="C397" t="s">
        <v>1023</v>
      </c>
      <c r="F397" s="52">
        <v>4106655000</v>
      </c>
      <c r="Q397">
        <f>--ISNUMBER(SEARCH('RC Checklist'!$G$2,A397))</f>
        <v>0</v>
      </c>
      <c r="R397" t="str">
        <f>IF(Q397=1,COUNTIF($Q$2:$Q397,1),"")</f>
        <v/>
      </c>
      <c r="S397" t="str">
        <f>IFERROR(INDEX(ClientInfo[Full Name], MATCH(ROWS($R$2:$R397),ClientInfo[frequency], 0)),"")</f>
        <v/>
      </c>
    </row>
    <row r="398" spans="1:19">
      <c r="A398" t="str">
        <f>TRIM(CONCATENATE(ClientInfo[[#This Row],[First Name]], " ",ClientInfo[[#This Row],[Last Name]]))</f>
        <v>Glass tinting</v>
      </c>
      <c r="B398" t="s">
        <v>153</v>
      </c>
      <c r="C398" t="s">
        <v>1350</v>
      </c>
      <c r="F398" s="52">
        <v>4438297355</v>
      </c>
      <c r="Q398">
        <f>--ISNUMBER(SEARCH('RC Checklist'!$G$2,A398))</f>
        <v>0</v>
      </c>
      <c r="R398" t="str">
        <f>IF(Q398=1,COUNTIF($Q$2:$Q398,1),"")</f>
        <v/>
      </c>
      <c r="S398" t="str">
        <f>IFERROR(INDEX(ClientInfo[Full Name], MATCH(ROWS($R$2:$R398),ClientInfo[frequency], 0)),"")</f>
        <v/>
      </c>
    </row>
    <row r="399" spans="1:19">
      <c r="A399" t="str">
        <f>TRIM(CONCATENATE(ClientInfo[[#This Row],[First Name]], " ",ClientInfo[[#This Row],[Last Name]]))</f>
        <v>Glenda Rodriguez</v>
      </c>
      <c r="B399" t="s">
        <v>2769</v>
      </c>
      <c r="C399" t="s">
        <v>1539</v>
      </c>
      <c r="D399" t="s">
        <v>2770</v>
      </c>
      <c r="Q399">
        <f>--ISNUMBER(SEARCH('RC Checklist'!$G$2,A399))</f>
        <v>0</v>
      </c>
      <c r="R399" t="str">
        <f>IF(Q399=1,COUNTIF($Q$2:$Q399,1),"")</f>
        <v/>
      </c>
      <c r="S399" t="str">
        <f>IFERROR(INDEX(ClientInfo[Full Name], MATCH(ROWS($R$2:$R399),ClientInfo[frequency], 0)),"")</f>
        <v/>
      </c>
    </row>
    <row r="400" spans="1:19">
      <c r="A400" t="str">
        <f>TRIM(CONCATENATE(ClientInfo[[#This Row],[First Name]], " ",ClientInfo[[#This Row],[Last Name]]))</f>
        <v>Gloria Velasquez</v>
      </c>
      <c r="B400" t="s">
        <v>1614</v>
      </c>
      <c r="C400" t="s">
        <v>1615</v>
      </c>
      <c r="F400" s="52" t="s">
        <v>1616</v>
      </c>
      <c r="O400" t="s">
        <v>1617</v>
      </c>
      <c r="Q400">
        <f>--ISNUMBER(SEARCH('RC Checklist'!$G$2,A400))</f>
        <v>0</v>
      </c>
      <c r="R400" t="str">
        <f>IF(Q400=1,COUNTIF($Q$2:$Q400,1),"")</f>
        <v/>
      </c>
      <c r="S400" t="str">
        <f>IFERROR(INDEX(ClientInfo[Full Name], MATCH(ROWS($R$2:$R400),ClientInfo[frequency], 0)),"")</f>
        <v/>
      </c>
    </row>
    <row r="401" spans="1:19">
      <c r="A401" t="str">
        <f>TRIM(CONCATENATE(ClientInfo[[#This Row],[First Name]], " ",ClientInfo[[#This Row],[Last Name]]))</f>
        <v>Gq</v>
      </c>
      <c r="B401" t="s">
        <v>2571</v>
      </c>
      <c r="F401" s="52" t="s">
        <v>2572</v>
      </c>
      <c r="Q401">
        <f>--ISNUMBER(SEARCH('RC Checklist'!$G$2,A401))</f>
        <v>0</v>
      </c>
      <c r="R401" t="str">
        <f>IF(Q401=1,COUNTIF($Q$2:$Q401,1),"")</f>
        <v/>
      </c>
      <c r="S401" t="str">
        <f>IFERROR(INDEX(ClientInfo[Full Name], MATCH(ROWS($R$2:$R401),ClientInfo[frequency], 0)),"")</f>
        <v/>
      </c>
    </row>
    <row r="402" spans="1:19">
      <c r="A402" t="str">
        <f>TRIM(CONCATENATE(ClientInfo[[#This Row],[First Name]], " ",ClientInfo[[#This Row],[Last Name]]))</f>
        <v>Grace Maxine Dritt</v>
      </c>
      <c r="B402" t="s">
        <v>1781</v>
      </c>
      <c r="C402" t="s">
        <v>1782</v>
      </c>
      <c r="F402" s="52" t="s">
        <v>1783</v>
      </c>
      <c r="O402" t="s">
        <v>1784</v>
      </c>
      <c r="Q402">
        <f>--ISNUMBER(SEARCH('RC Checklist'!$G$2,A402))</f>
        <v>0</v>
      </c>
      <c r="R402" t="str">
        <f>IF(Q402=1,COUNTIF($Q$2:$Q402,1),"")</f>
        <v/>
      </c>
      <c r="S402" t="str">
        <f>IFERROR(INDEX(ClientInfo[Full Name], MATCH(ROWS($R$2:$R402),ClientInfo[frequency], 0)),"")</f>
        <v/>
      </c>
    </row>
    <row r="403" spans="1:19">
      <c r="A403" t="str">
        <f>TRIM(CONCATENATE(ClientInfo[[#This Row],[First Name]], " ",ClientInfo[[#This Row],[Last Name]]))</f>
        <v>Gram</v>
      </c>
      <c r="B403" t="s">
        <v>727</v>
      </c>
      <c r="D403" t="s">
        <v>728</v>
      </c>
      <c r="F403" s="52" t="s">
        <v>729</v>
      </c>
      <c r="Q403">
        <f>--ISNUMBER(SEARCH('RC Checklist'!$G$2,A403))</f>
        <v>0</v>
      </c>
      <c r="R403" t="str">
        <f>IF(Q403=1,COUNTIF($Q$2:$Q403,1),"")</f>
        <v/>
      </c>
      <c r="S403" t="str">
        <f>IFERROR(INDEX(ClientInfo[Full Name], MATCH(ROWS($R$2:$R403),ClientInfo[frequency], 0)),"")</f>
        <v/>
      </c>
    </row>
    <row r="404" spans="1:19">
      <c r="A404" t="str">
        <f>TRIM(CONCATENATE(ClientInfo[[#This Row],[First Name]], " ",ClientInfo[[#This Row],[Last Name]]))</f>
        <v>Green Thumb Lawn</v>
      </c>
      <c r="B404" t="s">
        <v>1181</v>
      </c>
      <c r="C404" t="s">
        <v>1182</v>
      </c>
      <c r="D404" t="s">
        <v>1183</v>
      </c>
      <c r="F404" s="52" t="s">
        <v>1184</v>
      </c>
      <c r="H404" t="s">
        <v>1185</v>
      </c>
      <c r="O404" t="s">
        <v>1186</v>
      </c>
      <c r="Q404">
        <f>--ISNUMBER(SEARCH('RC Checklist'!$G$2,A404))</f>
        <v>0</v>
      </c>
      <c r="R404" t="str">
        <f>IF(Q404=1,COUNTIF($Q$2:$Q404,1),"")</f>
        <v/>
      </c>
      <c r="S404" t="str">
        <f>IFERROR(INDEX(ClientInfo[Full Name], MATCH(ROWS($R$2:$R404),ClientInfo[frequency], 0)),"")</f>
        <v/>
      </c>
    </row>
    <row r="405" spans="1:19">
      <c r="A405" t="str">
        <f>TRIM(CONCATENATE(ClientInfo[[#This Row],[First Name]], " ",ClientInfo[[#This Row],[Last Name]]))</f>
        <v>Greenspeed Recumbent Bikes</v>
      </c>
      <c r="B405" t="s">
        <v>1137</v>
      </c>
      <c r="D405" t="s">
        <v>1137</v>
      </c>
      <c r="F405" s="52" t="s">
        <v>1138</v>
      </c>
      <c r="H405" t="s">
        <v>1139</v>
      </c>
      <c r="O405" t="s">
        <v>1140</v>
      </c>
      <c r="Q405">
        <f>--ISNUMBER(SEARCH('RC Checklist'!$G$2,A405))</f>
        <v>0</v>
      </c>
      <c r="R405" t="str">
        <f>IF(Q405=1,COUNTIF($Q$2:$Q405,1),"")</f>
        <v/>
      </c>
      <c r="S405" t="str">
        <f>IFERROR(INDEX(ClientInfo[Full Name], MATCH(ROWS($R$2:$R405),ClientInfo[frequency], 0)),"")</f>
        <v/>
      </c>
    </row>
    <row r="406" spans="1:19">
      <c r="A406" t="str">
        <f>TRIM(CONCATENATE(ClientInfo[[#This Row],[First Name]], " ",ClientInfo[[#This Row],[Last Name]]))</f>
        <v>Greg Hall</v>
      </c>
      <c r="B406" t="s">
        <v>333</v>
      </c>
      <c r="C406" t="s">
        <v>45</v>
      </c>
      <c r="F406" s="52" t="s">
        <v>2209</v>
      </c>
      <c r="Q406">
        <f>--ISNUMBER(SEARCH('RC Checklist'!$G$2,A406))</f>
        <v>0</v>
      </c>
      <c r="R406" t="str">
        <f>IF(Q406=1,COUNTIF($Q$2:$Q406,1),"")</f>
        <v/>
      </c>
      <c r="S406" t="str">
        <f>IFERROR(INDEX(ClientInfo[Full Name], MATCH(ROWS($R$2:$R406),ClientInfo[frequency], 0)),"")</f>
        <v/>
      </c>
    </row>
    <row r="407" spans="1:19">
      <c r="A407" t="str">
        <f>TRIM(CONCATENATE(ClientInfo[[#This Row],[First Name]], " ",ClientInfo[[#This Row],[Last Name]]))</f>
        <v>Greg Martin</v>
      </c>
      <c r="B407" t="s">
        <v>333</v>
      </c>
      <c r="C407" t="s">
        <v>712</v>
      </c>
      <c r="Q407">
        <f>--ISNUMBER(SEARCH('RC Checklist'!$G$2,A407))</f>
        <v>0</v>
      </c>
      <c r="R407" t="str">
        <f>IF(Q407=1,COUNTIF($Q$2:$Q407,1),"")</f>
        <v/>
      </c>
      <c r="S407" t="str">
        <f>IFERROR(INDEX(ClientInfo[Full Name], MATCH(ROWS($R$2:$R407),ClientInfo[frequency], 0)),"")</f>
        <v/>
      </c>
    </row>
    <row r="408" spans="1:19">
      <c r="A408" t="str">
        <f>TRIM(CONCATENATE(ClientInfo[[#This Row],[First Name]], " ",ClientInfo[[#This Row],[Last Name]]))</f>
        <v>Greg Measley</v>
      </c>
      <c r="B408" t="s">
        <v>333</v>
      </c>
      <c r="C408" t="s">
        <v>2911</v>
      </c>
      <c r="D408" t="s">
        <v>2912</v>
      </c>
      <c r="F408" s="52">
        <v>14108084792</v>
      </c>
      <c r="O408" t="s">
        <v>2913</v>
      </c>
      <c r="Q408">
        <f>--ISNUMBER(SEARCH('RC Checklist'!$G$2,A408))</f>
        <v>0</v>
      </c>
      <c r="R408" t="str">
        <f>IF(Q408=1,COUNTIF($Q$2:$Q408,1),"")</f>
        <v/>
      </c>
      <c r="S408" t="str">
        <f>IFERROR(INDEX(ClientInfo[Full Name], MATCH(ROWS($R$2:$R408),ClientInfo[frequency], 0)),"")</f>
        <v/>
      </c>
    </row>
    <row r="409" spans="1:19">
      <c r="A409" t="str">
        <f>TRIM(CONCATENATE(ClientInfo[[#This Row],[First Name]], " ",ClientInfo[[#This Row],[Last Name]]))</f>
        <v>Greg Portera</v>
      </c>
      <c r="B409" t="s">
        <v>333</v>
      </c>
      <c r="C409" t="s">
        <v>2296</v>
      </c>
      <c r="F409" s="52" t="s">
        <v>2297</v>
      </c>
      <c r="P409" t="s">
        <v>2298</v>
      </c>
      <c r="Q409">
        <f>--ISNUMBER(SEARCH('RC Checklist'!$G$2,A409))</f>
        <v>0</v>
      </c>
      <c r="R409" t="str">
        <f>IF(Q409=1,COUNTIF($Q$2:$Q409,1),"")</f>
        <v/>
      </c>
      <c r="S409" t="str">
        <f>IFERROR(INDEX(ClientInfo[Full Name], MATCH(ROWS($R$2:$R409),ClientInfo[frequency], 0)),"")</f>
        <v/>
      </c>
    </row>
    <row r="410" spans="1:19">
      <c r="A410" t="str">
        <f>TRIM(CONCATENATE(ClientInfo[[#This Row],[First Name]], " ",ClientInfo[[#This Row],[Last Name]]))</f>
        <v>Gutters Direct</v>
      </c>
      <c r="B410" t="s">
        <v>2189</v>
      </c>
      <c r="D410" t="s">
        <v>2189</v>
      </c>
      <c r="F410" s="52" t="s">
        <v>2190</v>
      </c>
      <c r="P410" t="s">
        <v>2191</v>
      </c>
      <c r="Q410">
        <f>--ISNUMBER(SEARCH('RC Checklist'!$G$2,A410))</f>
        <v>0</v>
      </c>
      <c r="R410" t="str">
        <f>IF(Q410=1,COUNTIF($Q$2:$Q410,1),"")</f>
        <v/>
      </c>
      <c r="S410" t="str">
        <f>IFERROR(INDEX(ClientInfo[Full Name], MATCH(ROWS($R$2:$R410),ClientInfo[frequency], 0)),"")</f>
        <v/>
      </c>
    </row>
    <row r="411" spans="1:19">
      <c r="A411" t="str">
        <f>TRIM(CONCATENATE(ClientInfo[[#This Row],[First Name]], " ",ClientInfo[[#This Row],[Last Name]]))</f>
        <v>GYN</v>
      </c>
      <c r="B411" t="s">
        <v>1847</v>
      </c>
      <c r="F411" s="52" t="s">
        <v>1848</v>
      </c>
      <c r="Q411">
        <f>--ISNUMBER(SEARCH('RC Checklist'!$G$2,A411))</f>
        <v>0</v>
      </c>
      <c r="R411" t="str">
        <f>IF(Q411=1,COUNTIF($Q$2:$Q411,1),"")</f>
        <v/>
      </c>
      <c r="S411" t="str">
        <f>IFERROR(INDEX(ClientInfo[Full Name], MATCH(ROWS($R$2:$R411),ClientInfo[frequency], 0)),"")</f>
        <v/>
      </c>
    </row>
    <row r="412" spans="1:19">
      <c r="A412" t="str">
        <f>TRIM(CONCATENATE(ClientInfo[[#This Row],[First Name]], " ",ClientInfo[[#This Row],[Last Name]]))</f>
        <v>H&amp;S Finance</v>
      </c>
      <c r="B412" t="s">
        <v>1548</v>
      </c>
      <c r="D412" t="s">
        <v>1548</v>
      </c>
      <c r="F412" s="52" t="s">
        <v>1549</v>
      </c>
      <c r="Q412">
        <f>--ISNUMBER(SEARCH('RC Checklist'!$G$2,A412))</f>
        <v>0</v>
      </c>
      <c r="R412" t="str">
        <f>IF(Q412=1,COUNTIF($Q$2:$Q412,1),"")</f>
        <v/>
      </c>
      <c r="S412" t="str">
        <f>IFERROR(INDEX(ClientInfo[Full Name], MATCH(ROWS($R$2:$R412),ClientInfo[frequency], 0)),"")</f>
        <v/>
      </c>
    </row>
    <row r="413" spans="1:19">
      <c r="A413" t="str">
        <f>TRIM(CONCATENATE(ClientInfo[[#This Row],[First Name]], " ",ClientInfo[[#This Row],[Last Name]]))</f>
        <v>Halins Wilmer</v>
      </c>
      <c r="B413" t="s">
        <v>2688</v>
      </c>
      <c r="C413" t="s">
        <v>2689</v>
      </c>
      <c r="F413" s="52" t="s">
        <v>2690</v>
      </c>
      <c r="Q413">
        <f>--ISNUMBER(SEARCH('RC Checklist'!$G$2,A413))</f>
        <v>0</v>
      </c>
      <c r="R413" t="str">
        <f>IF(Q413=1,COUNTIF($Q$2:$Q413,1),"")</f>
        <v/>
      </c>
      <c r="S413" t="str">
        <f>IFERROR(INDEX(ClientInfo[Full Name], MATCH(ROWS($R$2:$R413),ClientInfo[frequency], 0)),"")</f>
        <v/>
      </c>
    </row>
    <row r="414" spans="1:19">
      <c r="A414" t="str">
        <f>TRIM(CONCATENATE(ClientInfo[[#This Row],[First Name]], " ",ClientInfo[[#This Row],[Last Name]]))</f>
        <v>Harriet</v>
      </c>
      <c r="B414" t="s">
        <v>1407</v>
      </c>
      <c r="F414" s="52" t="s">
        <v>1408</v>
      </c>
      <c r="O414" t="s">
        <v>1409</v>
      </c>
      <c r="Q414">
        <f>--ISNUMBER(SEARCH('RC Checklist'!$G$2,A414))</f>
        <v>0</v>
      </c>
      <c r="R414" t="str">
        <f>IF(Q414=1,COUNTIF($Q$2:$Q414,1),"")</f>
        <v/>
      </c>
      <c r="S414" t="str">
        <f>IFERROR(INDEX(ClientInfo[Full Name], MATCH(ROWS($R$2:$R414),ClientInfo[frequency], 0)),"")</f>
        <v/>
      </c>
    </row>
    <row r="415" spans="1:19">
      <c r="A415" t="str">
        <f>TRIM(CONCATENATE(ClientInfo[[#This Row],[First Name]], " ",ClientInfo[[#This Row],[Last Name]]))</f>
        <v>Heather Crowe</v>
      </c>
      <c r="B415" t="s">
        <v>2646</v>
      </c>
      <c r="C415" t="s">
        <v>2647</v>
      </c>
      <c r="Q415">
        <f>--ISNUMBER(SEARCH('RC Checklist'!$G$2,A415))</f>
        <v>0</v>
      </c>
      <c r="R415" t="str">
        <f>IF(Q415=1,COUNTIF($Q$2:$Q415,1),"")</f>
        <v/>
      </c>
      <c r="S415" t="str">
        <f>IFERROR(INDEX(ClientInfo[Full Name], MATCH(ROWS($R$2:$R415),ClientInfo[frequency], 0)),"")</f>
        <v/>
      </c>
    </row>
    <row r="416" spans="1:19">
      <c r="A416" t="str">
        <f>TRIM(CONCATENATE(ClientInfo[[#This Row],[First Name]], " ",ClientInfo[[#This Row],[Last Name]]))</f>
        <v>Heather Langenberg Kalen Baxter</v>
      </c>
      <c r="B416" t="s">
        <v>400</v>
      </c>
      <c r="C416" t="s">
        <v>401</v>
      </c>
      <c r="F416" s="52" t="s">
        <v>402</v>
      </c>
      <c r="G416" s="52">
        <v>4105681237</v>
      </c>
      <c r="H416" t="s">
        <v>403</v>
      </c>
      <c r="O416" t="s">
        <v>404</v>
      </c>
      <c r="Q416">
        <f>--ISNUMBER(SEARCH('RC Checklist'!$G$2,A416))</f>
        <v>0</v>
      </c>
      <c r="R416" t="str">
        <f>IF(Q416=1,COUNTIF($Q$2:$Q416,1),"")</f>
        <v/>
      </c>
      <c r="S416" t="str">
        <f>IFERROR(INDEX(ClientInfo[Full Name], MATCH(ROWS($R$2:$R416),ClientInfo[frequency], 0)),"")</f>
        <v/>
      </c>
    </row>
    <row r="417" spans="1:19">
      <c r="A417" t="str">
        <f>TRIM(CONCATENATE(ClientInfo[[#This Row],[First Name]], " ",ClientInfo[[#This Row],[Last Name]]))</f>
        <v>Heidi</v>
      </c>
      <c r="B417" t="s">
        <v>549</v>
      </c>
      <c r="D417" t="s">
        <v>550</v>
      </c>
      <c r="F417" s="52" t="s">
        <v>551</v>
      </c>
      <c r="Q417">
        <f>--ISNUMBER(SEARCH('RC Checklist'!$G$2,A417))</f>
        <v>0</v>
      </c>
      <c r="R417" t="str">
        <f>IF(Q417=1,COUNTIF($Q$2:$Q417,1),"")</f>
        <v/>
      </c>
      <c r="S417" t="str">
        <f>IFERROR(INDEX(ClientInfo[Full Name], MATCH(ROWS($R$2:$R417),ClientInfo[frequency], 0)),"")</f>
        <v/>
      </c>
    </row>
    <row r="418" spans="1:19">
      <c r="A418" t="str">
        <f>TRIM(CONCATENATE(ClientInfo[[#This Row],[First Name]], " ",ClientInfo[[#This Row],[Last Name]]))</f>
        <v>Heidi Gage</v>
      </c>
      <c r="B418" t="s">
        <v>549</v>
      </c>
      <c r="C418" t="s">
        <v>1879</v>
      </c>
      <c r="F418" s="52">
        <v>14109849517</v>
      </c>
      <c r="Q418">
        <f>--ISNUMBER(SEARCH('RC Checklist'!$G$2,A418))</f>
        <v>0</v>
      </c>
      <c r="R418" t="str">
        <f>IF(Q418=1,COUNTIF($Q$2:$Q418,1),"")</f>
        <v/>
      </c>
      <c r="S418" t="str">
        <f>IFERROR(INDEX(ClientInfo[Full Name], MATCH(ROWS($R$2:$R418),ClientInfo[frequency], 0)),"")</f>
        <v/>
      </c>
    </row>
    <row r="419" spans="1:19">
      <c r="A419" t="str">
        <f>TRIM(CONCATENATE(ClientInfo[[#This Row],[First Name]], " ",ClientInfo[[#This Row],[Last Name]]))</f>
        <v>Heidi krauss</v>
      </c>
      <c r="B419" t="s">
        <v>549</v>
      </c>
      <c r="C419" t="s">
        <v>2093</v>
      </c>
      <c r="F419" s="52">
        <v>4109356881</v>
      </c>
      <c r="Q419">
        <f>--ISNUMBER(SEARCH('RC Checklist'!$G$2,A419))</f>
        <v>0</v>
      </c>
      <c r="R419" t="str">
        <f>IF(Q419=1,COUNTIF($Q$2:$Q419,1),"")</f>
        <v/>
      </c>
      <c r="S419" t="str">
        <f>IFERROR(INDEX(ClientInfo[Full Name], MATCH(ROWS($R$2:$R419),ClientInfo[frequency], 0)),"")</f>
        <v/>
      </c>
    </row>
    <row r="420" spans="1:19">
      <c r="A420" t="str">
        <f>TRIM(CONCATENATE(ClientInfo[[#This Row],[First Name]], " ",ClientInfo[[#This Row],[Last Name]]))</f>
        <v>Heidi Slacum</v>
      </c>
      <c r="B420" t="s">
        <v>549</v>
      </c>
      <c r="C420" t="s">
        <v>2503</v>
      </c>
      <c r="F420" s="52" t="s">
        <v>2504</v>
      </c>
      <c r="Q420">
        <f>--ISNUMBER(SEARCH('RC Checklist'!$G$2,A420))</f>
        <v>0</v>
      </c>
      <c r="R420" t="str">
        <f>IF(Q420=1,COUNTIF($Q$2:$Q420,1),"")</f>
        <v/>
      </c>
      <c r="S420" t="str">
        <f>IFERROR(INDEX(ClientInfo[Full Name], MATCH(ROWS($R$2:$R420),ClientInfo[frequency], 0)),"")</f>
        <v/>
      </c>
    </row>
    <row r="421" spans="1:19">
      <c r="A421" t="str">
        <f>TRIM(CONCATENATE(ClientInfo[[#This Row],[First Name]], " ",ClientInfo[[#This Row],[Last Name]]))</f>
        <v>Hellen</v>
      </c>
      <c r="B421" t="s">
        <v>2527</v>
      </c>
      <c r="O421" t="s">
        <v>2528</v>
      </c>
      <c r="P421" t="s">
        <v>2529</v>
      </c>
      <c r="Q421">
        <f>--ISNUMBER(SEARCH('RC Checklist'!$G$2,A421))</f>
        <v>0</v>
      </c>
      <c r="R421" t="str">
        <f>IF(Q421=1,COUNTIF($Q$2:$Q421,1),"")</f>
        <v/>
      </c>
      <c r="S421" t="str">
        <f>IFERROR(INDEX(ClientInfo[Full Name], MATCH(ROWS($R$2:$R421),ClientInfo[frequency], 0)),"")</f>
        <v/>
      </c>
    </row>
    <row r="422" spans="1:19">
      <c r="A422" t="str">
        <f>TRIM(CONCATENATE(ClientInfo[[#This Row],[First Name]], " ",ClientInfo[[#This Row],[Last Name]]))</f>
        <v>Henry</v>
      </c>
      <c r="B422" t="s">
        <v>183</v>
      </c>
      <c r="F422" s="52" t="s">
        <v>1925</v>
      </c>
      <c r="Q422">
        <f>--ISNUMBER(SEARCH('RC Checklist'!$G$2,A422))</f>
        <v>0</v>
      </c>
      <c r="R422" t="str">
        <f>IF(Q422=1,COUNTIF($Q$2:$Q422,1),"")</f>
        <v/>
      </c>
      <c r="S422" t="str">
        <f>IFERROR(INDEX(ClientInfo[Full Name], MATCH(ROWS($R$2:$R422),ClientInfo[frequency], 0)),"")</f>
        <v/>
      </c>
    </row>
    <row r="423" spans="1:19">
      <c r="A423" t="str">
        <f>TRIM(CONCATENATE(ClientInfo[[#This Row],[First Name]], " ",ClientInfo[[#This Row],[Last Name]]))</f>
        <v>Herb refuse</v>
      </c>
      <c r="B423" t="s">
        <v>2644</v>
      </c>
      <c r="C423" t="s">
        <v>2645</v>
      </c>
      <c r="F423" s="52">
        <v>4437632693</v>
      </c>
      <c r="Q423">
        <f>--ISNUMBER(SEARCH('RC Checklist'!$G$2,A423))</f>
        <v>0</v>
      </c>
      <c r="R423" t="str">
        <f>IF(Q423=1,COUNTIF($Q$2:$Q423,1),"")</f>
        <v/>
      </c>
      <c r="S423" t="str">
        <f>IFERROR(INDEX(ClientInfo[Full Name], MATCH(ROWS($R$2:$R423),ClientInfo[frequency], 0)),"")</f>
        <v/>
      </c>
    </row>
    <row r="424" spans="1:19">
      <c r="A424" t="str">
        <f>TRIM(CONCATENATE(ClientInfo[[#This Row],[First Name]], " ",ClientInfo[[#This Row],[Last Name]]))</f>
        <v>Hereford Pharmacy</v>
      </c>
      <c r="B424" t="s">
        <v>2458</v>
      </c>
      <c r="D424" t="s">
        <v>2458</v>
      </c>
      <c r="F424" s="52" t="s">
        <v>2459</v>
      </c>
      <c r="Q424">
        <f>--ISNUMBER(SEARCH('RC Checklist'!$G$2,A424))</f>
        <v>0</v>
      </c>
      <c r="R424" t="str">
        <f>IF(Q424=1,COUNTIF($Q$2:$Q424,1),"")</f>
        <v/>
      </c>
      <c r="S424" t="str">
        <f>IFERROR(INDEX(ClientInfo[Full Name], MATCH(ROWS($R$2:$R424),ClientInfo[frequency], 0)),"")</f>
        <v/>
      </c>
    </row>
    <row r="425" spans="1:19">
      <c r="A425" t="str">
        <f>TRIM(CONCATENATE(ClientInfo[[#This Row],[First Name]], " ",ClientInfo[[#This Row],[Last Name]]))</f>
        <v>Heritage dodge</v>
      </c>
      <c r="B425" t="s">
        <v>1143</v>
      </c>
      <c r="C425" t="s">
        <v>1144</v>
      </c>
      <c r="F425" s="52">
        <v>4106613400</v>
      </c>
      <c r="Q425">
        <f>--ISNUMBER(SEARCH('RC Checklist'!$G$2,A425))</f>
        <v>0</v>
      </c>
      <c r="R425" t="str">
        <f>IF(Q425=1,COUNTIF($Q$2:$Q425,1),"")</f>
        <v/>
      </c>
      <c r="S425" t="str">
        <f>IFERROR(INDEX(ClientInfo[Full Name], MATCH(ROWS($R$2:$R425),ClientInfo[frequency], 0)),"")</f>
        <v/>
      </c>
    </row>
    <row r="426" spans="1:19">
      <c r="A426" t="str">
        <f>TRIM(CONCATENATE(ClientInfo[[#This Row],[First Name]], " ",ClientInfo[[#This Row],[Last Name]]))</f>
        <v>Heritage Honda</v>
      </c>
      <c r="B426" t="s">
        <v>1143</v>
      </c>
      <c r="C426" t="s">
        <v>1951</v>
      </c>
      <c r="F426" s="52">
        <v>4106637101</v>
      </c>
      <c r="Q426">
        <f>--ISNUMBER(SEARCH('RC Checklist'!$G$2,A426))</f>
        <v>0</v>
      </c>
      <c r="R426" t="str">
        <f>IF(Q426=1,COUNTIF($Q$2:$Q426,1),"")</f>
        <v/>
      </c>
      <c r="S426" t="str">
        <f>IFERROR(INDEX(ClientInfo[Full Name], MATCH(ROWS($R$2:$R426),ClientInfo[frequency], 0)),"")</f>
        <v/>
      </c>
    </row>
    <row r="427" spans="1:19">
      <c r="A427" t="str">
        <f>TRIM(CONCATENATE(ClientInfo[[#This Row],[First Name]], " ",ClientInfo[[#This Row],[Last Name]]))</f>
        <v>Heritage Hyundai</v>
      </c>
      <c r="B427" t="s">
        <v>1785</v>
      </c>
      <c r="D427" t="s">
        <v>1785</v>
      </c>
      <c r="F427" s="52" t="s">
        <v>1786</v>
      </c>
      <c r="Q427">
        <f>--ISNUMBER(SEARCH('RC Checklist'!$G$2,A427))</f>
        <v>0</v>
      </c>
      <c r="R427" t="str">
        <f>IF(Q427=1,COUNTIF($Q$2:$Q427,1),"")</f>
        <v/>
      </c>
      <c r="S427" t="str">
        <f>IFERROR(INDEX(ClientInfo[Full Name], MATCH(ROWS($R$2:$R427),ClientInfo[frequency], 0)),"")</f>
        <v/>
      </c>
    </row>
    <row r="428" spans="1:19">
      <c r="A428" t="str">
        <f>TRIM(CONCATENATE(ClientInfo[[#This Row],[First Name]], " ",ClientInfo[[#This Row],[Last Name]]))</f>
        <v>Hilary &amp; Stewart</v>
      </c>
      <c r="B428" t="s">
        <v>2547</v>
      </c>
      <c r="F428" s="52" t="s">
        <v>2548</v>
      </c>
      <c r="G428" s="52" t="s">
        <v>2549</v>
      </c>
      <c r="Q428">
        <f>--ISNUMBER(SEARCH('RC Checklist'!$G$2,A428))</f>
        <v>0</v>
      </c>
      <c r="R428" t="str">
        <f>IF(Q428=1,COUNTIF($Q$2:$Q428,1),"")</f>
        <v/>
      </c>
      <c r="S428" t="str">
        <f>IFERROR(INDEX(ClientInfo[Full Name], MATCH(ROWS($R$2:$R428),ClientInfo[frequency], 0)),"")</f>
        <v/>
      </c>
    </row>
    <row r="429" spans="1:19">
      <c r="A429" t="str">
        <f>TRIM(CONCATENATE(ClientInfo[[#This Row],[First Name]], " ",ClientInfo[[#This Row],[Last Name]]))</f>
        <v>Hollins Organic</v>
      </c>
      <c r="B429" t="s">
        <v>2198</v>
      </c>
      <c r="D429" t="s">
        <v>2198</v>
      </c>
      <c r="F429" s="52" t="s">
        <v>2199</v>
      </c>
      <c r="Q429">
        <f>--ISNUMBER(SEARCH('RC Checklist'!$G$2,A429))</f>
        <v>0</v>
      </c>
      <c r="R429" t="str">
        <f>IF(Q429=1,COUNTIF($Q$2:$Q429,1),"")</f>
        <v/>
      </c>
      <c r="S429" t="str">
        <f>IFERROR(INDEX(ClientInfo[Full Name], MATCH(ROWS($R$2:$R429),ClientInfo[frequency], 0)),"")</f>
        <v/>
      </c>
    </row>
    <row r="430" spans="1:19">
      <c r="A430" t="str">
        <f>TRIM(CONCATENATE(ClientInfo[[#This Row],[First Name]], " ",ClientInfo[[#This Row],[Last Name]]))</f>
        <v>Holly</v>
      </c>
      <c r="B430" t="s">
        <v>2460</v>
      </c>
      <c r="F430" s="52">
        <v>14104560632</v>
      </c>
      <c r="H430" t="s">
        <v>2461</v>
      </c>
      <c r="Q430">
        <f>--ISNUMBER(SEARCH('RC Checklist'!$G$2,A430))</f>
        <v>0</v>
      </c>
      <c r="R430" t="str">
        <f>IF(Q430=1,COUNTIF($Q$2:$Q430,1),"")</f>
        <v/>
      </c>
      <c r="S430" t="str">
        <f>IFERROR(INDEX(ClientInfo[Full Name], MATCH(ROWS($R$2:$R430),ClientInfo[frequency], 0)),"")</f>
        <v/>
      </c>
    </row>
    <row r="431" spans="1:19">
      <c r="A431" t="str">
        <f>TRIM(CONCATENATE(ClientInfo[[#This Row],[First Name]], " ",ClientInfo[[#This Row],[Last Name]]))</f>
        <v>Home Depot</v>
      </c>
      <c r="B431" t="s">
        <v>1820</v>
      </c>
      <c r="D431" t="s">
        <v>1820</v>
      </c>
      <c r="F431" s="52" t="s">
        <v>1821</v>
      </c>
      <c r="P431">
        <v>241468</v>
      </c>
      <c r="Q431">
        <f>--ISNUMBER(SEARCH('RC Checklist'!$G$2,A431))</f>
        <v>0</v>
      </c>
      <c r="R431" t="str">
        <f>IF(Q431=1,COUNTIF($Q$2:$Q431,1),"")</f>
        <v/>
      </c>
      <c r="S431" t="str">
        <f>IFERROR(INDEX(ClientInfo[Full Name], MATCH(ROWS($R$2:$R431),ClientInfo[frequency], 0)),"")</f>
        <v/>
      </c>
    </row>
    <row r="432" spans="1:19">
      <c r="A432" t="str">
        <f>TRIM(CONCATENATE(ClientInfo[[#This Row],[First Name]], " ",ClientInfo[[#This Row],[Last Name]]))</f>
        <v>Hugh Hanley</v>
      </c>
      <c r="B432" t="s">
        <v>2569</v>
      </c>
      <c r="C432" t="s">
        <v>567</v>
      </c>
      <c r="F432" s="52" t="s">
        <v>2570</v>
      </c>
      <c r="Q432">
        <f>--ISNUMBER(SEARCH('RC Checklist'!$G$2,A432))</f>
        <v>0</v>
      </c>
      <c r="R432" t="str">
        <f>IF(Q432=1,COUNTIF($Q$2:$Q432,1),"")</f>
        <v/>
      </c>
      <c r="S432" t="str">
        <f>IFERROR(INDEX(ClientInfo[Full Name], MATCH(ROWS($R$2:$R432),ClientInfo[frequency], 0)),"")</f>
        <v/>
      </c>
    </row>
    <row r="433" spans="1:19">
      <c r="A433" t="str">
        <f>TRIM(CONCATENATE(ClientInfo[[#This Row],[First Name]], " ",ClientInfo[[#This Row],[Last Name]]))</f>
        <v>Humpty Dumpster Sabrina</v>
      </c>
      <c r="B433" t="s">
        <v>1705</v>
      </c>
      <c r="C433" t="s">
        <v>1706</v>
      </c>
      <c r="F433" s="52" t="s">
        <v>1707</v>
      </c>
      <c r="Q433">
        <f>--ISNUMBER(SEARCH('RC Checklist'!$G$2,A433))</f>
        <v>0</v>
      </c>
      <c r="R433" t="str">
        <f>IF(Q433=1,COUNTIF($Q$2:$Q433,1),"")</f>
        <v/>
      </c>
      <c r="S433" t="str">
        <f>IFERROR(INDEX(ClientInfo[Full Name], MATCH(ROWS($R$2:$R433),ClientInfo[frequency], 0)),"")</f>
        <v/>
      </c>
    </row>
    <row r="434" spans="1:19">
      <c r="A434" t="str">
        <f>TRIM(CONCATENATE(ClientInfo[[#This Row],[First Name]], " ",ClientInfo[[#This Row],[Last Name]]))</f>
        <v>Hunt Valley Tile &amp; Stone</v>
      </c>
      <c r="B434" t="s">
        <v>2262</v>
      </c>
      <c r="O434" t="s">
        <v>2263</v>
      </c>
      <c r="P434" t="s">
        <v>2264</v>
      </c>
      <c r="Q434">
        <f>--ISNUMBER(SEARCH('RC Checklist'!$G$2,A434))</f>
        <v>0</v>
      </c>
      <c r="R434" t="str">
        <f>IF(Q434=1,COUNTIF($Q$2:$Q434,1),"")</f>
        <v/>
      </c>
      <c r="S434" t="str">
        <f>IFERROR(INDEX(ClientInfo[Full Name], MATCH(ROWS($R$2:$R434),ClientInfo[frequency], 0)),"")</f>
        <v/>
      </c>
    </row>
    <row r="435" spans="1:19">
      <c r="A435" t="str">
        <f>TRIM(CONCATENATE(ClientInfo[[#This Row],[First Name]], " ",ClientInfo[[#This Row],[Last Name]]))</f>
        <v>Hunter Brown</v>
      </c>
      <c r="B435" t="s">
        <v>1704</v>
      </c>
      <c r="C435" t="s">
        <v>1134</v>
      </c>
      <c r="F435" s="52">
        <v>14435199195</v>
      </c>
      <c r="Q435">
        <f>--ISNUMBER(SEARCH('RC Checklist'!$G$2,A435))</f>
        <v>0</v>
      </c>
      <c r="R435" t="str">
        <f>IF(Q435=1,COUNTIF($Q$2:$Q435,1),"")</f>
        <v/>
      </c>
      <c r="S435" t="str">
        <f>IFERROR(INDEX(ClientInfo[Full Name], MATCH(ROWS($R$2:$R435),ClientInfo[frequency], 0)),"")</f>
        <v/>
      </c>
    </row>
    <row r="436" spans="1:19">
      <c r="A436" t="str">
        <f>TRIM(CONCATENATE(ClientInfo[[#This Row],[First Name]], " ",ClientInfo[[#This Row],[Last Name]]))</f>
        <v>Hunter Rowe</v>
      </c>
      <c r="B436" t="s">
        <v>1704</v>
      </c>
      <c r="C436" t="s">
        <v>1768</v>
      </c>
      <c r="F436" s="52" t="s">
        <v>1769</v>
      </c>
      <c r="Q436">
        <f>--ISNUMBER(SEARCH('RC Checklist'!$G$2,A436))</f>
        <v>0</v>
      </c>
      <c r="R436" t="str">
        <f>IF(Q436=1,COUNTIF($Q$2:$Q436,1),"")</f>
        <v/>
      </c>
      <c r="S436" t="str">
        <f>IFERROR(INDEX(ClientInfo[Full Name], MATCH(ROWS($R$2:$R436),ClientInfo[frequency], 0)),"")</f>
        <v/>
      </c>
    </row>
    <row r="437" spans="1:19">
      <c r="A437" t="str">
        <f>TRIM(CONCATENATE(ClientInfo[[#This Row],[First Name]], " ",ClientInfo[[#This Row],[Last Name]]))</f>
        <v>Ian Glass</v>
      </c>
      <c r="B437" t="s">
        <v>1973</v>
      </c>
      <c r="C437" t="s">
        <v>153</v>
      </c>
      <c r="F437" s="52" t="s">
        <v>1974</v>
      </c>
      <c r="P437" t="s">
        <v>1975</v>
      </c>
      <c r="Q437">
        <f>--ISNUMBER(SEARCH('RC Checklist'!$G$2,A437))</f>
        <v>0</v>
      </c>
      <c r="R437" t="str">
        <f>IF(Q437=1,COUNTIF($Q$2:$Q437,1),"")</f>
        <v/>
      </c>
      <c r="S437" t="str">
        <f>IFERROR(INDEX(ClientInfo[Full Name], MATCH(ROWS($R$2:$R437),ClientInfo[frequency], 0)),"")</f>
        <v/>
      </c>
    </row>
    <row r="438" spans="1:19">
      <c r="A438" t="str">
        <f>TRIM(CONCATENATE(ClientInfo[[#This Row],[First Name]], " ",ClientInfo[[#This Row],[Last Name]]))</f>
        <v>Inc. Townhouse Sprinklers</v>
      </c>
      <c r="B438" t="s">
        <v>2883</v>
      </c>
      <c r="C438" t="s">
        <v>2884</v>
      </c>
      <c r="D438" t="s">
        <v>2884</v>
      </c>
      <c r="F438" s="52" t="s">
        <v>2885</v>
      </c>
      <c r="O438" t="s">
        <v>2886</v>
      </c>
      <c r="Q438">
        <f>--ISNUMBER(SEARCH('RC Checklist'!$G$2,A438))</f>
        <v>0</v>
      </c>
      <c r="R438" t="str">
        <f>IF(Q438=1,COUNTIF($Q$2:$Q438,1),"")</f>
        <v/>
      </c>
      <c r="S438" t="str">
        <f>IFERROR(INDEX(ClientInfo[Full Name], MATCH(ROWS($R$2:$R438),ClientInfo[frequency], 0)),"")</f>
        <v/>
      </c>
    </row>
    <row r="439" spans="1:19">
      <c r="A439" t="str">
        <f>TRIM(CONCATENATE(ClientInfo[[#This Row],[First Name]], " ",ClientInfo[[#This Row],[Last Name]]))</f>
        <v>Indusco</v>
      </c>
      <c r="B439" t="s">
        <v>1825</v>
      </c>
      <c r="F439" s="52">
        <v>4107270665</v>
      </c>
      <c r="Q439">
        <f>--ISNUMBER(SEARCH('RC Checklist'!$G$2,A439))</f>
        <v>0</v>
      </c>
      <c r="R439" t="str">
        <f>IF(Q439=1,COUNTIF($Q$2:$Q439,1),"")</f>
        <v/>
      </c>
      <c r="S439" t="str">
        <f>IFERROR(INDEX(ClientInfo[Full Name], MATCH(ROWS($R$2:$R439),ClientInfo[frequency], 0)),"")</f>
        <v/>
      </c>
    </row>
    <row r="440" spans="1:19">
      <c r="A440" t="str">
        <f>TRIM(CONCATENATE(ClientInfo[[#This Row],[First Name]], " ",ClientInfo[[#This Row],[Last Name]]))</f>
        <v>Irene Black</v>
      </c>
      <c r="B440" t="s">
        <v>924</v>
      </c>
      <c r="C440" t="s">
        <v>925</v>
      </c>
      <c r="F440" s="52" t="s">
        <v>926</v>
      </c>
      <c r="Q440">
        <f>--ISNUMBER(SEARCH('RC Checklist'!$G$2,A440))</f>
        <v>0</v>
      </c>
      <c r="R440" t="str">
        <f>IF(Q440=1,COUNTIF($Q$2:$Q440,1),"")</f>
        <v/>
      </c>
      <c r="S440" t="str">
        <f>IFERROR(INDEX(ClientInfo[Full Name], MATCH(ROWS($R$2:$R440),ClientInfo[frequency], 0)),"")</f>
        <v/>
      </c>
    </row>
    <row r="441" spans="1:19">
      <c r="A441" t="str">
        <f>TRIM(CONCATENATE(ClientInfo[[#This Row],[First Name]], " ",ClientInfo[[#This Row],[Last Name]]))</f>
        <v>J W &amp; Son</v>
      </c>
      <c r="B441" t="s">
        <v>1240</v>
      </c>
      <c r="D441" t="s">
        <v>1240</v>
      </c>
      <c r="F441" s="52" t="s">
        <v>1241</v>
      </c>
      <c r="Q441">
        <f>--ISNUMBER(SEARCH('RC Checklist'!$G$2,A441))</f>
        <v>0</v>
      </c>
      <c r="R441" t="str">
        <f>IF(Q441=1,COUNTIF($Q$2:$Q441,1),"")</f>
        <v/>
      </c>
      <c r="S441" t="str">
        <f>IFERROR(INDEX(ClientInfo[Full Name], MATCH(ROWS($R$2:$R441),ClientInfo[frequency], 0)),"")</f>
        <v/>
      </c>
    </row>
    <row r="442" spans="1:19">
      <c r="A442" t="str">
        <f>TRIM(CONCATENATE(ClientInfo[[#This Row],[First Name]], " ",ClientInfo[[#This Row],[Last Name]]))</f>
        <v>J. Smith</v>
      </c>
      <c r="B442" t="s">
        <v>32</v>
      </c>
      <c r="C442" t="s">
        <v>34</v>
      </c>
      <c r="F442" s="52" t="s">
        <v>35</v>
      </c>
      <c r="H442" t="s">
        <v>36</v>
      </c>
      <c r="Q442">
        <f>--ISNUMBER(SEARCH('RC Checklist'!$G$2,A442))</f>
        <v>0</v>
      </c>
      <c r="R442" t="str">
        <f>IF(Q442=1,COUNTIF($Q$2:$Q442,1),"")</f>
        <v/>
      </c>
      <c r="S442" t="str">
        <f>IFERROR(INDEX(ClientInfo[Full Name], MATCH(ROWS($R$2:$R442),ClientInfo[frequency], 0)),"")</f>
        <v/>
      </c>
    </row>
    <row r="443" spans="1:19">
      <c r="A443" t="str">
        <f>TRIM(CONCATENATE(ClientInfo[[#This Row],[First Name]], " ",ClientInfo[[#This Row],[Last Name]]))</f>
        <v>Jack</v>
      </c>
      <c r="B443" t="s">
        <v>373</v>
      </c>
      <c r="D443" t="s">
        <v>2807</v>
      </c>
      <c r="F443" s="52" t="s">
        <v>2808</v>
      </c>
      <c r="G443" s="52" t="s">
        <v>2809</v>
      </c>
      <c r="Q443">
        <f>--ISNUMBER(SEARCH('RC Checklist'!$G$2,A443))</f>
        <v>0</v>
      </c>
      <c r="R443" t="str">
        <f>IF(Q443=1,COUNTIF($Q$2:$Q443,1),"")</f>
        <v/>
      </c>
      <c r="S443" t="str">
        <f>IFERROR(INDEX(ClientInfo[Full Name], MATCH(ROWS($R$2:$R443),ClientInfo[frequency], 0)),"")</f>
        <v/>
      </c>
    </row>
    <row r="444" spans="1:19">
      <c r="A444" t="str">
        <f>TRIM(CONCATENATE(ClientInfo[[#This Row],[First Name]], " ",ClientInfo[[#This Row],[Last Name]]))</f>
        <v>Jack Meredith</v>
      </c>
      <c r="B444" t="s">
        <v>373</v>
      </c>
      <c r="C444" t="s">
        <v>1970</v>
      </c>
      <c r="F444" s="52" t="s">
        <v>1971</v>
      </c>
      <c r="H444" t="s">
        <v>1972</v>
      </c>
      <c r="Q444">
        <f>--ISNUMBER(SEARCH('RC Checklist'!$G$2,A444))</f>
        <v>0</v>
      </c>
      <c r="R444" t="str">
        <f>IF(Q444=1,COUNTIF($Q$2:$Q444,1),"")</f>
        <v/>
      </c>
      <c r="S444" t="str">
        <f>IFERROR(INDEX(ClientInfo[Full Name], MATCH(ROWS($R$2:$R444),ClientInfo[frequency], 0)),"")</f>
        <v/>
      </c>
    </row>
    <row r="445" spans="1:19">
      <c r="A445" t="str">
        <f>TRIM(CONCATENATE(ClientInfo[[#This Row],[First Name]], " ",ClientInfo[[#This Row],[Last Name]]))</f>
        <v>Jack Seymoue</v>
      </c>
      <c r="B445" t="s">
        <v>373</v>
      </c>
      <c r="C445" t="s">
        <v>1389</v>
      </c>
      <c r="F445" s="52">
        <v>4103216512</v>
      </c>
      <c r="Q445">
        <f>--ISNUMBER(SEARCH('RC Checklist'!$G$2,A445))</f>
        <v>0</v>
      </c>
      <c r="R445" t="str">
        <f>IF(Q445=1,COUNTIF($Q$2:$Q445,1),"")</f>
        <v/>
      </c>
      <c r="S445" t="str">
        <f>IFERROR(INDEX(ClientInfo[Full Name], MATCH(ROWS($R$2:$R445),ClientInfo[frequency], 0)),"")</f>
        <v/>
      </c>
    </row>
    <row r="446" spans="1:19">
      <c r="A446" t="str">
        <f>TRIM(CONCATENATE(ClientInfo[[#This Row],[First Name]], " ",ClientInfo[[#This Row],[Last Name]]))</f>
        <v>Jack westermeyer</v>
      </c>
      <c r="B446" t="s">
        <v>373</v>
      </c>
      <c r="C446" t="s">
        <v>374</v>
      </c>
      <c r="F446" s="52">
        <v>4432711374</v>
      </c>
      <c r="H446" t="s">
        <v>375</v>
      </c>
      <c r="Q446">
        <f>--ISNUMBER(SEARCH('RC Checklist'!$G$2,A446))</f>
        <v>0</v>
      </c>
      <c r="R446" t="str">
        <f>IF(Q446=1,COUNTIF($Q$2:$Q446,1),"")</f>
        <v/>
      </c>
      <c r="S446" t="str">
        <f>IFERROR(INDEX(ClientInfo[Full Name], MATCH(ROWS($R$2:$R446),ClientInfo[frequency], 0)),"")</f>
        <v/>
      </c>
    </row>
    <row r="447" spans="1:19">
      <c r="A447" t="str">
        <f>TRIM(CONCATENATE(ClientInfo[[#This Row],[First Name]], " ",ClientInfo[[#This Row],[Last Name]]))</f>
        <v>Jackie Nicoll</v>
      </c>
      <c r="B447" t="s">
        <v>2752</v>
      </c>
      <c r="C447" t="s">
        <v>2753</v>
      </c>
      <c r="D447" t="s">
        <v>249</v>
      </c>
      <c r="F447" s="52" t="s">
        <v>2754</v>
      </c>
      <c r="H447" t="s">
        <v>2755</v>
      </c>
      <c r="O447" t="s">
        <v>2756</v>
      </c>
      <c r="P447" t="s">
        <v>2757</v>
      </c>
      <c r="Q447">
        <f>--ISNUMBER(SEARCH('RC Checklist'!$G$2,A447))</f>
        <v>0</v>
      </c>
      <c r="R447" t="str">
        <f>IF(Q447=1,COUNTIF($Q$2:$Q447,1),"")</f>
        <v/>
      </c>
      <c r="S447" t="str">
        <f>IFERROR(INDEX(ClientInfo[Full Name], MATCH(ROWS($R$2:$R447),ClientInfo[frequency], 0)),"")</f>
        <v/>
      </c>
    </row>
    <row r="448" spans="1:19">
      <c r="A448" t="str">
        <f>TRIM(CONCATENATE(ClientInfo[[#This Row],[First Name]], " ",ClientInfo[[#This Row],[Last Name]]))</f>
        <v>Jacob Zajdel</v>
      </c>
      <c r="B448" t="s">
        <v>1035</v>
      </c>
      <c r="C448" t="s">
        <v>1036</v>
      </c>
      <c r="F448" s="52">
        <v>4437446305</v>
      </c>
      <c r="Q448">
        <f>--ISNUMBER(SEARCH('RC Checklist'!$G$2,A448))</f>
        <v>0</v>
      </c>
      <c r="R448" t="str">
        <f>IF(Q448=1,COUNTIF($Q$2:$Q448,1),"")</f>
        <v/>
      </c>
      <c r="S448" t="str">
        <f>IFERROR(INDEX(ClientInfo[Full Name], MATCH(ROWS($R$2:$R448),ClientInfo[frequency], 0)),"")</f>
        <v/>
      </c>
    </row>
    <row r="449" spans="1:19">
      <c r="A449" t="str">
        <f>TRIM(CONCATENATE(ClientInfo[[#This Row],[First Name]], " ",ClientInfo[[#This Row],[Last Name]]))</f>
        <v>Jake guatney Peggy</v>
      </c>
      <c r="B449" t="s">
        <v>1835</v>
      </c>
      <c r="C449" t="s">
        <v>1836</v>
      </c>
      <c r="F449" s="52">
        <v>4439670159</v>
      </c>
      <c r="Q449">
        <f>--ISNUMBER(SEARCH('RC Checklist'!$G$2,A449))</f>
        <v>0</v>
      </c>
      <c r="R449" t="str">
        <f>IF(Q449=1,COUNTIF($Q$2:$Q449,1),"")</f>
        <v/>
      </c>
      <c r="S449" t="str">
        <f>IFERROR(INDEX(ClientInfo[Full Name], MATCH(ROWS($R$2:$R449),ClientInfo[frequency], 0)),"")</f>
        <v/>
      </c>
    </row>
    <row r="450" spans="1:19">
      <c r="A450" t="str">
        <f>TRIM(CONCATENATE(ClientInfo[[#This Row],[First Name]], " ",ClientInfo[[#This Row],[Last Name]]))</f>
        <v>James Eddie Hurst</v>
      </c>
      <c r="B450" t="s">
        <v>204</v>
      </c>
      <c r="C450" t="s">
        <v>205</v>
      </c>
      <c r="D450" t="s">
        <v>206</v>
      </c>
      <c r="E450" t="s">
        <v>207</v>
      </c>
      <c r="F450" s="52">
        <v>4437900484</v>
      </c>
      <c r="H450" t="s">
        <v>208</v>
      </c>
      <c r="O450" t="s">
        <v>209</v>
      </c>
      <c r="Q450">
        <f>--ISNUMBER(SEARCH('RC Checklist'!$G$2,A450))</f>
        <v>0</v>
      </c>
      <c r="R450" t="str">
        <f>IF(Q450=1,COUNTIF($Q$2:$Q450,1),"")</f>
        <v/>
      </c>
      <c r="S450" t="str">
        <f>IFERROR(INDEX(ClientInfo[Full Name], MATCH(ROWS($R$2:$R450),ClientInfo[frequency], 0)),"")</f>
        <v/>
      </c>
    </row>
    <row r="451" spans="1:19">
      <c r="A451" t="str">
        <f>TRIM(CONCATENATE(ClientInfo[[#This Row],[First Name]], " ",ClientInfo[[#This Row],[Last Name]]))</f>
        <v>James Eustace</v>
      </c>
      <c r="B451" t="s">
        <v>1741</v>
      </c>
      <c r="C451" t="s">
        <v>1742</v>
      </c>
      <c r="D451" t="s">
        <v>1743</v>
      </c>
      <c r="F451" s="52">
        <v>4102298262</v>
      </c>
      <c r="Q451">
        <f>--ISNUMBER(SEARCH('RC Checklist'!$G$2,A451))</f>
        <v>0</v>
      </c>
      <c r="R451" t="str">
        <f>IF(Q451=1,COUNTIF($Q$2:$Q451,1),"")</f>
        <v/>
      </c>
      <c r="S451" t="str">
        <f>IFERROR(INDEX(ClientInfo[Full Name], MATCH(ROWS($R$2:$R451),ClientInfo[frequency], 0)),"")</f>
        <v/>
      </c>
    </row>
    <row r="452" spans="1:19">
      <c r="A452" t="str">
        <f>TRIM(CONCATENATE(ClientInfo[[#This Row],[First Name]], " ",ClientInfo[[#This Row],[Last Name]]))</f>
        <v>Jamie &amp; Debbie Brown</v>
      </c>
      <c r="B452" t="s">
        <v>2162</v>
      </c>
      <c r="C452" t="s">
        <v>1134</v>
      </c>
      <c r="F452" s="52">
        <v>4103397182</v>
      </c>
      <c r="H452" t="s">
        <v>2163</v>
      </c>
      <c r="O452" t="s">
        <v>2164</v>
      </c>
      <c r="P452">
        <v>1653</v>
      </c>
      <c r="Q452">
        <f>--ISNUMBER(SEARCH('RC Checklist'!$G$2,A452))</f>
        <v>0</v>
      </c>
      <c r="R452" t="str">
        <f>IF(Q452=1,COUNTIF($Q$2:$Q452,1),"")</f>
        <v/>
      </c>
      <c r="S452" t="str">
        <f>IFERROR(INDEX(ClientInfo[Full Name], MATCH(ROWS($R$2:$R452),ClientInfo[frequency], 0)),"")</f>
        <v/>
      </c>
    </row>
    <row r="453" spans="1:19">
      <c r="A453" t="str">
        <f>TRIM(CONCATENATE(ClientInfo[[#This Row],[First Name]], " ",ClientInfo[[#This Row],[Last Name]]))</f>
        <v>Jamie bragdon</v>
      </c>
      <c r="B453" t="s">
        <v>1239</v>
      </c>
      <c r="C453" t="s">
        <v>605</v>
      </c>
      <c r="F453" s="52">
        <v>3014488210</v>
      </c>
      <c r="Q453">
        <f>--ISNUMBER(SEARCH('RC Checklist'!$G$2,A453))</f>
        <v>0</v>
      </c>
      <c r="R453" t="str">
        <f>IF(Q453=1,COUNTIF($Q$2:$Q453,1),"")</f>
        <v/>
      </c>
      <c r="S453" t="str">
        <f>IFERROR(INDEX(ClientInfo[Full Name], MATCH(ROWS($R$2:$R453),ClientInfo[frequency], 0)),"")</f>
        <v/>
      </c>
    </row>
    <row r="454" spans="1:19">
      <c r="A454" t="str">
        <f>TRIM(CONCATENATE(ClientInfo[[#This Row],[First Name]], " ",ClientInfo[[#This Row],[Last Name]]))</f>
        <v>jamie brown</v>
      </c>
      <c r="B454" t="s">
        <v>2523</v>
      </c>
      <c r="C454" t="s">
        <v>2524</v>
      </c>
      <c r="H454" t="s">
        <v>2163</v>
      </c>
      <c r="Q454">
        <f>--ISNUMBER(SEARCH('RC Checklist'!$G$2,A454))</f>
        <v>0</v>
      </c>
      <c r="R454" t="str">
        <f>IF(Q454=1,COUNTIF($Q$2:$Q454,1),"")</f>
        <v/>
      </c>
      <c r="S454" t="str">
        <f>IFERROR(INDEX(ClientInfo[Full Name], MATCH(ROWS($R$2:$R454),ClientInfo[frequency], 0)),"")</f>
        <v/>
      </c>
    </row>
    <row r="455" spans="1:19">
      <c r="A455" t="str">
        <f>TRIM(CONCATENATE(ClientInfo[[#This Row],[First Name]], " ",ClientInfo[[#This Row],[Last Name]]))</f>
        <v>Jamil Hermes</v>
      </c>
      <c r="B455" t="s">
        <v>2120</v>
      </c>
      <c r="C455" t="s">
        <v>2121</v>
      </c>
      <c r="F455" s="52" t="s">
        <v>2122</v>
      </c>
      <c r="Q455">
        <f>--ISNUMBER(SEARCH('RC Checklist'!$G$2,A455))</f>
        <v>0</v>
      </c>
      <c r="R455" t="str">
        <f>IF(Q455=1,COUNTIF($Q$2:$Q455,1),"")</f>
        <v/>
      </c>
      <c r="S455" t="str">
        <f>IFERROR(INDEX(ClientInfo[Full Name], MATCH(ROWS($R$2:$R455),ClientInfo[frequency], 0)),"")</f>
        <v/>
      </c>
    </row>
    <row r="456" spans="1:19">
      <c r="A456" t="str">
        <f>TRIM(CONCATENATE(ClientInfo[[#This Row],[First Name]], " ",ClientInfo[[#This Row],[Last Name]]))</f>
        <v>Jan</v>
      </c>
      <c r="B456" t="s">
        <v>1086</v>
      </c>
      <c r="F456" s="52" t="s">
        <v>1087</v>
      </c>
      <c r="Q456">
        <f>--ISNUMBER(SEARCH('RC Checklist'!$G$2,A456))</f>
        <v>0</v>
      </c>
      <c r="R456" t="str">
        <f>IF(Q456=1,COUNTIF($Q$2:$Q456,1),"")</f>
        <v/>
      </c>
      <c r="S456" t="str">
        <f>IFERROR(INDEX(ClientInfo[Full Name], MATCH(ROWS($R$2:$R456),ClientInfo[frequency], 0)),"")</f>
        <v/>
      </c>
    </row>
    <row r="457" spans="1:19">
      <c r="A457" t="str">
        <f>TRIM(CONCATENATE(ClientInfo[[#This Row],[First Name]], " ",ClientInfo[[#This Row],[Last Name]]))</f>
        <v>Jan Derezinski</v>
      </c>
      <c r="B457" t="s">
        <v>1086</v>
      </c>
      <c r="C457" t="s">
        <v>2665</v>
      </c>
      <c r="D457" t="s">
        <v>2666</v>
      </c>
      <c r="F457" s="52">
        <v>4435069108</v>
      </c>
      <c r="G457" s="52">
        <v>8555069108</v>
      </c>
      <c r="H457" t="s">
        <v>2667</v>
      </c>
      <c r="O457" t="s">
        <v>2668</v>
      </c>
      <c r="Q457">
        <f>--ISNUMBER(SEARCH('RC Checklist'!$G$2,A457))</f>
        <v>0</v>
      </c>
      <c r="R457" t="str">
        <f>IF(Q457=1,COUNTIF($Q$2:$Q457,1),"")</f>
        <v/>
      </c>
      <c r="S457" t="str">
        <f>IFERROR(INDEX(ClientInfo[Full Name], MATCH(ROWS($R$2:$R457),ClientInfo[frequency], 0)),"")</f>
        <v/>
      </c>
    </row>
    <row r="458" spans="1:19">
      <c r="A458" t="str">
        <f>TRIM(CONCATENATE(ClientInfo[[#This Row],[First Name]], " ",ClientInfo[[#This Row],[Last Name]]))</f>
        <v>Jan Toth</v>
      </c>
      <c r="B458" t="s">
        <v>1086</v>
      </c>
      <c r="C458" t="s">
        <v>1601</v>
      </c>
      <c r="F458" s="52">
        <v>4126065019</v>
      </c>
      <c r="Q458">
        <f>--ISNUMBER(SEARCH('RC Checklist'!$G$2,A458))</f>
        <v>0</v>
      </c>
      <c r="R458" t="str">
        <f>IF(Q458=1,COUNTIF($Q$2:$Q458,1),"")</f>
        <v/>
      </c>
      <c r="S458" t="str">
        <f>IFERROR(INDEX(ClientInfo[Full Name], MATCH(ROWS($R$2:$R458),ClientInfo[frequency], 0)),"")</f>
        <v/>
      </c>
    </row>
    <row r="459" spans="1:19">
      <c r="A459" t="str">
        <f>TRIM(CONCATENATE(ClientInfo[[#This Row],[First Name]], " ",ClientInfo[[#This Row],[Last Name]]))</f>
        <v>Janda Florist</v>
      </c>
      <c r="B459" t="s">
        <v>2740</v>
      </c>
      <c r="D459" t="s">
        <v>2740</v>
      </c>
      <c r="F459" s="52" t="s">
        <v>2741</v>
      </c>
      <c r="O459" t="s">
        <v>2742</v>
      </c>
      <c r="Q459">
        <f>--ISNUMBER(SEARCH('RC Checklist'!$G$2,A459))</f>
        <v>0</v>
      </c>
      <c r="R459" t="str">
        <f>IF(Q459=1,COUNTIF($Q$2:$Q459,1),"")</f>
        <v/>
      </c>
      <c r="S459" t="str">
        <f>IFERROR(INDEX(ClientInfo[Full Name], MATCH(ROWS($R$2:$R459),ClientInfo[frequency], 0)),"")</f>
        <v/>
      </c>
    </row>
    <row r="460" spans="1:19">
      <c r="A460" t="str">
        <f>TRIM(CONCATENATE(ClientInfo[[#This Row],[First Name]], " ",ClientInfo[[#This Row],[Last Name]]))</f>
        <v>Jane / bill Crist</v>
      </c>
      <c r="B460" t="s">
        <v>2743</v>
      </c>
      <c r="C460" t="s">
        <v>2744</v>
      </c>
      <c r="F460" s="52">
        <v>4432317671</v>
      </c>
      <c r="Q460">
        <f>--ISNUMBER(SEARCH('RC Checklist'!$G$2,A460))</f>
        <v>0</v>
      </c>
      <c r="R460" t="str">
        <f>IF(Q460=1,COUNTIF($Q$2:$Q460,1),"")</f>
        <v/>
      </c>
      <c r="S460" t="str">
        <f>IFERROR(INDEX(ClientInfo[Full Name], MATCH(ROWS($R$2:$R460),ClientInfo[frequency], 0)),"")</f>
        <v/>
      </c>
    </row>
    <row r="461" spans="1:19">
      <c r="A461" t="str">
        <f>TRIM(CONCATENATE(ClientInfo[[#This Row],[First Name]], " ",ClientInfo[[#This Row],[Last Name]]))</f>
        <v>Janice Verdoramo</v>
      </c>
      <c r="B461" t="s">
        <v>1489</v>
      </c>
      <c r="C461" t="s">
        <v>1490</v>
      </c>
      <c r="F461" s="52" t="s">
        <v>1491</v>
      </c>
      <c r="G461" s="52">
        <v>4107676511</v>
      </c>
      <c r="Q461">
        <f>--ISNUMBER(SEARCH('RC Checklist'!$G$2,A461))</f>
        <v>0</v>
      </c>
      <c r="R461" t="str">
        <f>IF(Q461=1,COUNTIF($Q$2:$Q461,1),"")</f>
        <v/>
      </c>
      <c r="S461" t="str">
        <f>IFERROR(INDEX(ClientInfo[Full Name], MATCH(ROWS($R$2:$R461),ClientInfo[frequency], 0)),"")</f>
        <v/>
      </c>
    </row>
    <row r="462" spans="1:19">
      <c r="A462" t="str">
        <f>TRIM(CONCATENATE(ClientInfo[[#This Row],[First Name]], " ",ClientInfo[[#This Row],[Last Name]]))</f>
        <v>Jaqie Gilbert</v>
      </c>
      <c r="B462" t="s">
        <v>1162</v>
      </c>
      <c r="C462" t="s">
        <v>1043</v>
      </c>
      <c r="F462" s="52" t="s">
        <v>1163</v>
      </c>
      <c r="Q462">
        <f>--ISNUMBER(SEARCH('RC Checklist'!$G$2,A462))</f>
        <v>0</v>
      </c>
      <c r="R462" t="str">
        <f>IF(Q462=1,COUNTIF($Q$2:$Q462,1),"")</f>
        <v/>
      </c>
      <c r="S462" t="str">
        <f>IFERROR(INDEX(ClientInfo[Full Name], MATCH(ROWS($R$2:$R462),ClientInfo[frequency], 0)),"")</f>
        <v/>
      </c>
    </row>
    <row r="463" spans="1:19">
      <c r="A463" t="str">
        <f>TRIM(CONCATENATE(ClientInfo[[#This Row],[First Name]], " ",ClientInfo[[#This Row],[Last Name]]))</f>
        <v>Jarrettsville vet.</v>
      </c>
      <c r="B463" t="s">
        <v>1544</v>
      </c>
      <c r="C463" t="s">
        <v>1545</v>
      </c>
      <c r="F463" s="52">
        <v>4106926171</v>
      </c>
      <c r="Q463">
        <f>--ISNUMBER(SEARCH('RC Checklist'!$G$2,A463))</f>
        <v>0</v>
      </c>
      <c r="R463" t="str">
        <f>IF(Q463=1,COUNTIF($Q$2:$Q463,1),"")</f>
        <v/>
      </c>
      <c r="S463" t="str">
        <f>IFERROR(INDEX(ClientInfo[Full Name], MATCH(ROWS($R$2:$R463),ClientInfo[frequency], 0)),"")</f>
        <v/>
      </c>
    </row>
    <row r="464" spans="1:19">
      <c r="A464" t="str">
        <f>TRIM(CONCATENATE(ClientInfo[[#This Row],[First Name]], " ",ClientInfo[[#This Row],[Last Name]]))</f>
        <v>Jarvis</v>
      </c>
      <c r="B464" t="s">
        <v>2540</v>
      </c>
      <c r="F464" s="52">
        <v>4105577378</v>
      </c>
      <c r="Q464">
        <f>--ISNUMBER(SEARCH('RC Checklist'!$G$2,A464))</f>
        <v>0</v>
      </c>
      <c r="R464" t="str">
        <f>IF(Q464=1,COUNTIF($Q$2:$Q464,1),"")</f>
        <v/>
      </c>
      <c r="S464" t="str">
        <f>IFERROR(INDEX(ClientInfo[Full Name], MATCH(ROWS($R$2:$R464),ClientInfo[frequency], 0)),"")</f>
        <v/>
      </c>
    </row>
    <row r="465" spans="1:19">
      <c r="A465" t="str">
        <f>TRIM(CONCATENATE(ClientInfo[[#This Row],[First Name]], " ",ClientInfo[[#This Row],[Last Name]]))</f>
        <v>Jason</v>
      </c>
      <c r="B465" t="s">
        <v>928</v>
      </c>
      <c r="D465" t="s">
        <v>2286</v>
      </c>
      <c r="Q465">
        <f>--ISNUMBER(SEARCH('RC Checklist'!$G$2,A465))</f>
        <v>0</v>
      </c>
      <c r="R465" t="str">
        <f>IF(Q465=1,COUNTIF($Q$2:$Q465,1),"")</f>
        <v/>
      </c>
      <c r="S465" t="str">
        <f>IFERROR(INDEX(ClientInfo[Full Name], MATCH(ROWS($R$2:$R465),ClientInfo[frequency], 0)),"")</f>
        <v/>
      </c>
    </row>
    <row r="466" spans="1:19">
      <c r="A466" t="str">
        <f>TRIM(CONCATENATE(ClientInfo[[#This Row],[First Name]], " ",ClientInfo[[#This Row],[Last Name]]))</f>
        <v>Jason Cullum</v>
      </c>
      <c r="B466" t="s">
        <v>928</v>
      </c>
      <c r="C466" t="s">
        <v>929</v>
      </c>
      <c r="D466" t="s">
        <v>930</v>
      </c>
      <c r="F466" s="52">
        <v>4438663447</v>
      </c>
      <c r="G466" s="52">
        <v>4108361706</v>
      </c>
      <c r="H466" t="s">
        <v>931</v>
      </c>
      <c r="Q466">
        <f>--ISNUMBER(SEARCH('RC Checklist'!$G$2,A466))</f>
        <v>0</v>
      </c>
      <c r="R466" t="str">
        <f>IF(Q466=1,COUNTIF($Q$2:$Q466,1),"")</f>
        <v/>
      </c>
      <c r="S466" t="str">
        <f>IFERROR(INDEX(ClientInfo[Full Name], MATCH(ROWS($R$2:$R466),ClientInfo[frequency], 0)),"")</f>
        <v/>
      </c>
    </row>
    <row r="467" spans="1:19">
      <c r="A467" t="str">
        <f>TRIM(CONCATENATE(ClientInfo[[#This Row],[First Name]], " ",ClientInfo[[#This Row],[Last Name]]))</f>
        <v>Jason Miller</v>
      </c>
      <c r="B467" t="s">
        <v>928</v>
      </c>
      <c r="C467" t="s">
        <v>1426</v>
      </c>
      <c r="O467" t="s">
        <v>2178</v>
      </c>
      <c r="Q467">
        <f>--ISNUMBER(SEARCH('RC Checklist'!$G$2,A467))</f>
        <v>0</v>
      </c>
      <c r="R467" t="str">
        <f>IF(Q467=1,COUNTIF($Q$2:$Q467,1),"")</f>
        <v/>
      </c>
      <c r="S467" t="str">
        <f>IFERROR(INDEX(ClientInfo[Full Name], MATCH(ROWS($R$2:$R467),ClientInfo[frequency], 0)),"")</f>
        <v/>
      </c>
    </row>
    <row r="468" spans="1:19">
      <c r="A468" t="str">
        <f>TRIM(CONCATENATE(ClientInfo[[#This Row],[First Name]], " ",ClientInfo[[#This Row],[Last Name]]))</f>
        <v>Jay jacobs</v>
      </c>
      <c r="B468" t="s">
        <v>848</v>
      </c>
      <c r="C468" t="s">
        <v>2447</v>
      </c>
      <c r="D468" t="s">
        <v>2448</v>
      </c>
      <c r="F468" s="52">
        <v>4105921198</v>
      </c>
      <c r="H468" t="s">
        <v>2449</v>
      </c>
      <c r="Q468">
        <f>--ISNUMBER(SEARCH('RC Checklist'!$G$2,A468))</f>
        <v>0</v>
      </c>
      <c r="R468" t="str">
        <f>IF(Q468=1,COUNTIF($Q$2:$Q468,1),"")</f>
        <v/>
      </c>
      <c r="S468" t="str">
        <f>IFERROR(INDEX(ClientInfo[Full Name], MATCH(ROWS($R$2:$R468),ClientInfo[frequency], 0)),"")</f>
        <v/>
      </c>
    </row>
    <row r="469" spans="1:19">
      <c r="A469" t="str">
        <f>TRIM(CONCATENATE(ClientInfo[[#This Row],[First Name]], " ",ClientInfo[[#This Row],[Last Name]]))</f>
        <v>Jay Krakowitz</v>
      </c>
      <c r="B469" t="s">
        <v>848</v>
      </c>
      <c r="C469" t="s">
        <v>1902</v>
      </c>
      <c r="F469" s="52">
        <v>14105810754</v>
      </c>
      <c r="O469" t="s">
        <v>1903</v>
      </c>
      <c r="Q469">
        <f>--ISNUMBER(SEARCH('RC Checklist'!$G$2,A469))</f>
        <v>0</v>
      </c>
      <c r="R469" t="str">
        <f>IF(Q469=1,COUNTIF($Q$2:$Q469,1),"")</f>
        <v/>
      </c>
      <c r="S469" t="str">
        <f>IFERROR(INDEX(ClientInfo[Full Name], MATCH(ROWS($R$2:$R469),ClientInfo[frequency], 0)),"")</f>
        <v/>
      </c>
    </row>
    <row r="470" spans="1:19">
      <c r="A470" t="str">
        <f>TRIM(CONCATENATE(ClientInfo[[#This Row],[First Name]], " ",ClientInfo[[#This Row],[Last Name]]))</f>
        <v>Jay meyers strawbe</v>
      </c>
      <c r="B470" t="s">
        <v>848</v>
      </c>
      <c r="C470" t="s">
        <v>882</v>
      </c>
      <c r="F470" s="52">
        <v>7175866684</v>
      </c>
      <c r="Q470">
        <f>--ISNUMBER(SEARCH('RC Checklist'!$G$2,A470))</f>
        <v>0</v>
      </c>
      <c r="R470" t="str">
        <f>IF(Q470=1,COUNTIF($Q$2:$Q470,1),"")</f>
        <v/>
      </c>
      <c r="S470" t="str">
        <f>IFERROR(INDEX(ClientInfo[Full Name], MATCH(ROWS($R$2:$R470),ClientInfo[frequency], 0)),"")</f>
        <v/>
      </c>
    </row>
    <row r="471" spans="1:19">
      <c r="A471" t="str">
        <f>TRIM(CONCATENATE(ClientInfo[[#This Row],[First Name]], " ",ClientInfo[[#This Row],[Last Name]]))</f>
        <v>Jay Snouffer</v>
      </c>
      <c r="B471" t="s">
        <v>848</v>
      </c>
      <c r="C471" t="s">
        <v>849</v>
      </c>
      <c r="D471" t="s">
        <v>545</v>
      </c>
      <c r="F471" s="52">
        <v>4103038407</v>
      </c>
      <c r="G471" s="52">
        <v>4104946854</v>
      </c>
      <c r="Q471">
        <f>--ISNUMBER(SEARCH('RC Checklist'!$G$2,A471))</f>
        <v>0</v>
      </c>
      <c r="R471" t="str">
        <f>IF(Q471=1,COUNTIF($Q$2:$Q471,1),"")</f>
        <v/>
      </c>
      <c r="S471" t="str">
        <f>IFERROR(INDEX(ClientInfo[Full Name], MATCH(ROWS($R$2:$R471),ClientInfo[frequency], 0)),"")</f>
        <v/>
      </c>
    </row>
    <row r="472" spans="1:19">
      <c r="A472" t="str">
        <f>TRIM(CONCATENATE(ClientInfo[[#This Row],[First Name]], " ",ClientInfo[[#This Row],[Last Name]]))</f>
        <v>Jayson</v>
      </c>
      <c r="B472" t="s">
        <v>637</v>
      </c>
      <c r="F472" s="52">
        <v>17173243395</v>
      </c>
      <c r="Q472">
        <f>--ISNUMBER(SEARCH('RC Checklist'!$G$2,A472))</f>
        <v>0</v>
      </c>
      <c r="R472" t="str">
        <f>IF(Q472=1,COUNTIF($Q$2:$Q472,1),"")</f>
        <v/>
      </c>
      <c r="S472" t="str">
        <f>IFERROR(INDEX(ClientInfo[Full Name], MATCH(ROWS($R$2:$R472),ClientInfo[frequency], 0)),"")</f>
        <v/>
      </c>
    </row>
    <row r="473" spans="1:19">
      <c r="A473" t="str">
        <f>TRIM(CONCATENATE(ClientInfo[[#This Row],[First Name]], " ",ClientInfo[[#This Row],[Last Name]]))</f>
        <v>Jayson Brown Flooring</v>
      </c>
      <c r="B473" t="s">
        <v>606</v>
      </c>
      <c r="F473" s="52" t="s">
        <v>607</v>
      </c>
      <c r="G473" s="52" t="s">
        <v>608</v>
      </c>
      <c r="Q473">
        <f>--ISNUMBER(SEARCH('RC Checklist'!$G$2,A473))</f>
        <v>0</v>
      </c>
      <c r="R473" t="str">
        <f>IF(Q473=1,COUNTIF($Q$2:$Q473,1),"")</f>
        <v/>
      </c>
      <c r="S473" t="str">
        <f>IFERROR(INDEX(ClientInfo[Full Name], MATCH(ROWS($R$2:$R473),ClientInfo[frequency], 0)),"")</f>
        <v/>
      </c>
    </row>
    <row r="474" spans="1:19">
      <c r="A474" t="str">
        <f>TRIM(CONCATENATE(ClientInfo[[#This Row],[First Name]], " ",ClientInfo[[#This Row],[Last Name]]))</f>
        <v>Jayson Conklin</v>
      </c>
      <c r="B474" t="s">
        <v>637</v>
      </c>
      <c r="C474" t="s">
        <v>989</v>
      </c>
      <c r="D474" t="s">
        <v>990</v>
      </c>
      <c r="F474" s="52" t="s">
        <v>991</v>
      </c>
      <c r="Q474">
        <f>--ISNUMBER(SEARCH('RC Checklist'!$G$2,A474))</f>
        <v>0</v>
      </c>
      <c r="R474" t="str">
        <f>IF(Q474=1,COUNTIF($Q$2:$Q474,1),"")</f>
        <v/>
      </c>
      <c r="S474" t="str">
        <f>IFERROR(INDEX(ClientInfo[Full Name], MATCH(ROWS($R$2:$R474),ClientInfo[frequency], 0)),"")</f>
        <v/>
      </c>
    </row>
    <row r="475" spans="1:19">
      <c r="A475" t="str">
        <f>TRIM(CONCATENATE(ClientInfo[[#This Row],[First Name]], " ",ClientInfo[[#This Row],[Last Name]]))</f>
        <v>Jayson Highland</v>
      </c>
      <c r="B475" t="s">
        <v>637</v>
      </c>
      <c r="C475" t="s">
        <v>2501</v>
      </c>
      <c r="F475" s="52">
        <v>4436836530</v>
      </c>
      <c r="Q475">
        <f>--ISNUMBER(SEARCH('RC Checklist'!$G$2,A475))</f>
        <v>0</v>
      </c>
      <c r="R475" t="str">
        <f>IF(Q475=1,COUNTIF($Q$2:$Q475,1),"")</f>
        <v/>
      </c>
      <c r="S475" t="str">
        <f>IFERROR(INDEX(ClientInfo[Full Name], MATCH(ROWS($R$2:$R475),ClientInfo[frequency], 0)),"")</f>
        <v/>
      </c>
    </row>
    <row r="476" spans="1:19">
      <c r="A476" t="str">
        <f>TRIM(CONCATENATE(ClientInfo[[#This Row],[First Name]], " ",ClientInfo[[#This Row],[Last Name]]))</f>
        <v>Jayson shubert</v>
      </c>
      <c r="B476" t="s">
        <v>637</v>
      </c>
      <c r="C476" t="s">
        <v>638</v>
      </c>
      <c r="F476" s="52">
        <v>7175543193</v>
      </c>
      <c r="Q476">
        <f>--ISNUMBER(SEARCH('RC Checklist'!$G$2,A476))</f>
        <v>0</v>
      </c>
      <c r="R476" t="str">
        <f>IF(Q476=1,COUNTIF($Q$2:$Q476,1),"")</f>
        <v/>
      </c>
      <c r="S476" t="str">
        <f>IFERROR(INDEX(ClientInfo[Full Name], MATCH(ROWS($R$2:$R476),ClientInfo[frequency], 0)),"")</f>
        <v/>
      </c>
    </row>
    <row r="477" spans="1:19">
      <c r="A477" t="str">
        <f>TRIM(CONCATENATE(ClientInfo[[#This Row],[First Name]], " ",ClientInfo[[#This Row],[Last Name]]))</f>
        <v>Jeff Chalk</v>
      </c>
      <c r="B477" t="s">
        <v>737</v>
      </c>
      <c r="C477" t="s">
        <v>738</v>
      </c>
      <c r="F477" s="52" t="s">
        <v>739</v>
      </c>
      <c r="G477" s="52" t="s">
        <v>740</v>
      </c>
      <c r="O477" t="s">
        <v>741</v>
      </c>
      <c r="P477" t="s">
        <v>742</v>
      </c>
      <c r="Q477">
        <f>--ISNUMBER(SEARCH('RC Checklist'!$G$2,A477))</f>
        <v>0</v>
      </c>
      <c r="R477" t="str">
        <f>IF(Q477=1,COUNTIF($Q$2:$Q477,1),"")</f>
        <v/>
      </c>
      <c r="S477" t="str">
        <f>IFERROR(INDEX(ClientInfo[Full Name], MATCH(ROWS($R$2:$R477),ClientInfo[frequency], 0)),"")</f>
        <v/>
      </c>
    </row>
    <row r="478" spans="1:19">
      <c r="A478" t="str">
        <f>TRIM(CONCATENATE(ClientInfo[[#This Row],[First Name]], " ",ClientInfo[[#This Row],[Last Name]]))</f>
        <v>Jeff Davis</v>
      </c>
      <c r="B478" t="s">
        <v>737</v>
      </c>
      <c r="C478" t="s">
        <v>602</v>
      </c>
      <c r="F478" s="52">
        <v>4103720804</v>
      </c>
      <c r="Q478">
        <f>--ISNUMBER(SEARCH('RC Checklist'!$G$2,A478))</f>
        <v>0</v>
      </c>
      <c r="R478" t="str">
        <f>IF(Q478=1,COUNTIF($Q$2:$Q478,1),"")</f>
        <v/>
      </c>
      <c r="S478" t="str">
        <f>IFERROR(INDEX(ClientInfo[Full Name], MATCH(ROWS($R$2:$R478),ClientInfo[frequency], 0)),"")</f>
        <v/>
      </c>
    </row>
    <row r="479" spans="1:19">
      <c r="A479" t="str">
        <f>TRIM(CONCATENATE(ClientInfo[[#This Row],[First Name]], " ",ClientInfo[[#This Row],[Last Name]]))</f>
        <v>Jeff Gray</v>
      </c>
      <c r="B479" t="s">
        <v>737</v>
      </c>
      <c r="C479" t="s">
        <v>1123</v>
      </c>
      <c r="F479" s="52" t="s">
        <v>1124</v>
      </c>
      <c r="Q479">
        <f>--ISNUMBER(SEARCH('RC Checklist'!$G$2,A479))</f>
        <v>0</v>
      </c>
      <c r="R479" t="str">
        <f>IF(Q479=1,COUNTIF($Q$2:$Q479,1),"")</f>
        <v/>
      </c>
      <c r="S479" t="str">
        <f>IFERROR(INDEX(ClientInfo[Full Name], MATCH(ROWS($R$2:$R479),ClientInfo[frequency], 0)),"")</f>
        <v/>
      </c>
    </row>
    <row r="480" spans="1:19">
      <c r="A480" t="str">
        <f>TRIM(CONCATENATE(ClientInfo[[#This Row],[First Name]], " ",ClientInfo[[#This Row],[Last Name]]))</f>
        <v>Jeff Lynn</v>
      </c>
      <c r="B480" t="s">
        <v>737</v>
      </c>
      <c r="C480" t="s">
        <v>2257</v>
      </c>
      <c r="Q480">
        <f>--ISNUMBER(SEARCH('RC Checklist'!$G$2,A480))</f>
        <v>0</v>
      </c>
      <c r="R480" t="str">
        <f>IF(Q480=1,COUNTIF($Q$2:$Q480,1),"")</f>
        <v/>
      </c>
      <c r="S480" t="str">
        <f>IFERROR(INDEX(ClientInfo[Full Name], MATCH(ROWS($R$2:$R480),ClientInfo[frequency], 0)),"")</f>
        <v/>
      </c>
    </row>
    <row r="481" spans="1:19">
      <c r="A481" t="str">
        <f>TRIM(CONCATENATE(ClientInfo[[#This Row],[First Name]], " ",ClientInfo[[#This Row],[Last Name]]))</f>
        <v>Jeffery Yablon</v>
      </c>
      <c r="B481" t="s">
        <v>1730</v>
      </c>
      <c r="C481" t="s">
        <v>1731</v>
      </c>
      <c r="F481" s="52" t="s">
        <v>1732</v>
      </c>
      <c r="Q481">
        <f>--ISNUMBER(SEARCH('RC Checklist'!$G$2,A481))</f>
        <v>0</v>
      </c>
      <c r="R481" t="str">
        <f>IF(Q481=1,COUNTIF($Q$2:$Q481,1),"")</f>
        <v/>
      </c>
      <c r="S481" t="str">
        <f>IFERROR(INDEX(ClientInfo[Full Name], MATCH(ROWS($R$2:$R481),ClientInfo[frequency], 0)),"")</f>
        <v/>
      </c>
    </row>
    <row r="482" spans="1:19">
      <c r="A482" t="str">
        <f>TRIM(CONCATENATE(ClientInfo[[#This Row],[First Name]], " ",ClientInfo[[#This Row],[Last Name]]))</f>
        <v>Jemma Fulop</v>
      </c>
      <c r="B482" t="s">
        <v>750</v>
      </c>
      <c r="C482" t="s">
        <v>751</v>
      </c>
      <c r="F482" s="52" t="s">
        <v>752</v>
      </c>
      <c r="Q482">
        <f>--ISNUMBER(SEARCH('RC Checklist'!$G$2,A482))</f>
        <v>0</v>
      </c>
      <c r="R482" t="str">
        <f>IF(Q482=1,COUNTIF($Q$2:$Q482,1),"")</f>
        <v/>
      </c>
      <c r="S482" t="str">
        <f>IFERROR(INDEX(ClientInfo[Full Name], MATCH(ROWS($R$2:$R482),ClientInfo[frequency], 0)),"")</f>
        <v/>
      </c>
    </row>
    <row r="483" spans="1:19">
      <c r="A483" t="str">
        <f>TRIM(CONCATENATE(ClientInfo[[#This Row],[First Name]], " ",ClientInfo[[#This Row],[Last Name]]))</f>
        <v>Jen B</v>
      </c>
      <c r="B483" t="s">
        <v>1593</v>
      </c>
      <c r="F483" s="52" t="s">
        <v>1594</v>
      </c>
      <c r="Q483">
        <f>--ISNUMBER(SEARCH('RC Checklist'!$G$2,A483))</f>
        <v>0</v>
      </c>
      <c r="R483" t="str">
        <f>IF(Q483=1,COUNTIF($Q$2:$Q483,1),"")</f>
        <v/>
      </c>
      <c r="S483" t="str">
        <f>IFERROR(INDEX(ClientInfo[Full Name], MATCH(ROWS($R$2:$R483),ClientInfo[frequency], 0)),"")</f>
        <v/>
      </c>
    </row>
    <row r="484" spans="1:19">
      <c r="A484" t="str">
        <f>TRIM(CONCATENATE(ClientInfo[[#This Row],[First Name]], " ",ClientInfo[[#This Row],[Last Name]]))</f>
        <v>Jen Jensen</v>
      </c>
      <c r="B484" t="s">
        <v>410</v>
      </c>
      <c r="C484" t="s">
        <v>411</v>
      </c>
      <c r="D484" t="s">
        <v>412</v>
      </c>
      <c r="F484" s="52" t="s">
        <v>413</v>
      </c>
      <c r="G484" s="52">
        <v>14439106037</v>
      </c>
      <c r="Q484">
        <f>--ISNUMBER(SEARCH('RC Checklist'!$G$2,A484))</f>
        <v>0</v>
      </c>
      <c r="R484" t="str">
        <f>IF(Q484=1,COUNTIF($Q$2:$Q484,1),"")</f>
        <v/>
      </c>
      <c r="S484" t="str">
        <f>IFERROR(INDEX(ClientInfo[Full Name], MATCH(ROWS($R$2:$R484),ClientInfo[frequency], 0)),"")</f>
        <v/>
      </c>
    </row>
    <row r="485" spans="1:19">
      <c r="A485" t="str">
        <f>TRIM(CONCATENATE(ClientInfo[[#This Row],[First Name]], " ",ClientInfo[[#This Row],[Last Name]]))</f>
        <v>Jennifer &amp; Craig Lewis</v>
      </c>
      <c r="B485" t="s">
        <v>512</v>
      </c>
      <c r="C485" t="s">
        <v>513</v>
      </c>
      <c r="D485" t="s">
        <v>514</v>
      </c>
      <c r="F485" s="52" t="s">
        <v>515</v>
      </c>
      <c r="H485" t="s">
        <v>516</v>
      </c>
      <c r="O485" t="s">
        <v>517</v>
      </c>
      <c r="P485" t="s">
        <v>518</v>
      </c>
      <c r="Q485">
        <f>--ISNUMBER(SEARCH('RC Checklist'!$G$2,A485))</f>
        <v>0</v>
      </c>
      <c r="R485" t="str">
        <f>IF(Q485=1,COUNTIF($Q$2:$Q485,1),"")</f>
        <v/>
      </c>
      <c r="S485" t="str">
        <f>IFERROR(INDEX(ClientInfo[Full Name], MATCH(ROWS($R$2:$R485),ClientInfo[frequency], 0)),"")</f>
        <v/>
      </c>
    </row>
    <row r="486" spans="1:19">
      <c r="A486" t="str">
        <f>TRIM(CONCATENATE(ClientInfo[[#This Row],[First Name]], " ",ClientInfo[[#This Row],[Last Name]]))</f>
        <v>Jennifer Dahill</v>
      </c>
      <c r="B486" t="s">
        <v>545</v>
      </c>
      <c r="C486" t="s">
        <v>1726</v>
      </c>
      <c r="F486" s="52" t="s">
        <v>1727</v>
      </c>
      <c r="G486" s="52" t="s">
        <v>1728</v>
      </c>
      <c r="O486" t="s">
        <v>1729</v>
      </c>
      <c r="Q486">
        <f>--ISNUMBER(SEARCH('RC Checklist'!$G$2,A486))</f>
        <v>0</v>
      </c>
      <c r="R486" t="str">
        <f>IF(Q486=1,COUNTIF($Q$2:$Q486,1),"")</f>
        <v/>
      </c>
      <c r="S486" t="str">
        <f>IFERROR(INDEX(ClientInfo[Full Name], MATCH(ROWS($R$2:$R486),ClientInfo[frequency], 0)),"")</f>
        <v/>
      </c>
    </row>
    <row r="487" spans="1:19">
      <c r="A487" t="str">
        <f>TRIM(CONCATENATE(ClientInfo[[#This Row],[First Name]], " ",ClientInfo[[#This Row],[Last Name]]))</f>
        <v>Jennifer shawn kai</v>
      </c>
      <c r="B487" t="s">
        <v>545</v>
      </c>
      <c r="C487" t="s">
        <v>546</v>
      </c>
      <c r="F487" s="52">
        <v>4102063022</v>
      </c>
      <c r="Q487">
        <f>--ISNUMBER(SEARCH('RC Checklist'!$G$2,A487))</f>
        <v>0</v>
      </c>
      <c r="R487" t="str">
        <f>IF(Q487=1,COUNTIF($Q$2:$Q487,1),"")</f>
        <v/>
      </c>
      <c r="S487" t="str">
        <f>IFERROR(INDEX(ClientInfo[Full Name], MATCH(ROWS($R$2:$R487),ClientInfo[frequency], 0)),"")</f>
        <v/>
      </c>
    </row>
    <row r="488" spans="1:19">
      <c r="A488" t="str">
        <f>TRIM(CONCATENATE(ClientInfo[[#This Row],[First Name]], " ",ClientInfo[[#This Row],[Last Name]]))</f>
        <v>Jennifer Thompson</v>
      </c>
      <c r="B488" t="s">
        <v>545</v>
      </c>
      <c r="C488" t="s">
        <v>1851</v>
      </c>
      <c r="F488" s="52" t="s">
        <v>1852</v>
      </c>
      <c r="O488" t="s">
        <v>1853</v>
      </c>
      <c r="Q488">
        <f>--ISNUMBER(SEARCH('RC Checklist'!$G$2,A488))</f>
        <v>0</v>
      </c>
      <c r="R488" t="str">
        <f>IF(Q488=1,COUNTIF($Q$2:$Q488,1),"")</f>
        <v/>
      </c>
      <c r="S488" t="str">
        <f>IFERROR(INDEX(ClientInfo[Full Name], MATCH(ROWS($R$2:$R488),ClientInfo[frequency], 0)),"")</f>
        <v/>
      </c>
    </row>
    <row r="489" spans="1:19">
      <c r="A489" t="str">
        <f>TRIM(CONCATENATE(ClientInfo[[#This Row],[First Name]], " ",ClientInfo[[#This Row],[Last Name]]))</f>
        <v>Jenny Garifalos</v>
      </c>
      <c r="B489" t="s">
        <v>2088</v>
      </c>
      <c r="C489" t="s">
        <v>2089</v>
      </c>
      <c r="F489" s="52" t="s">
        <v>2090</v>
      </c>
      <c r="Q489">
        <f>--ISNUMBER(SEARCH('RC Checklist'!$G$2,A489))</f>
        <v>0</v>
      </c>
      <c r="R489" t="str">
        <f>IF(Q489=1,COUNTIF($Q$2:$Q489,1),"")</f>
        <v/>
      </c>
      <c r="S489" t="str">
        <f>IFERROR(INDEX(ClientInfo[Full Name], MATCH(ROWS($R$2:$R489),ClientInfo[frequency], 0)),"")</f>
        <v/>
      </c>
    </row>
    <row r="490" spans="1:19">
      <c r="A490" t="str">
        <f>TRIM(CONCATENATE(ClientInfo[[#This Row],[First Name]], " ",ClientInfo[[#This Row],[Last Name]]))</f>
        <v>jenny Zubey</v>
      </c>
      <c r="B490" t="s">
        <v>160</v>
      </c>
      <c r="C490" t="s">
        <v>161</v>
      </c>
      <c r="D490" t="s">
        <v>162</v>
      </c>
      <c r="E490" t="s">
        <v>163</v>
      </c>
      <c r="F490" s="52">
        <v>4109135624</v>
      </c>
      <c r="H490" t="s">
        <v>164</v>
      </c>
      <c r="O490" t="s">
        <v>2956</v>
      </c>
      <c r="Q490">
        <f>--ISNUMBER(SEARCH('RC Checklist'!$G$2,A490))</f>
        <v>0</v>
      </c>
      <c r="R490" t="str">
        <f>IF(Q490=1,COUNTIF($Q$2:$Q490,1),"")</f>
        <v/>
      </c>
      <c r="S490" t="str">
        <f>IFERROR(INDEX(ClientInfo[Full Name], MATCH(ROWS($R$2:$R490),ClientInfo[frequency], 0)),"")</f>
        <v/>
      </c>
    </row>
    <row r="491" spans="1:19">
      <c r="A491" t="str">
        <f>TRIM(CONCATENATE(ClientInfo[[#This Row],[First Name]], " ",ClientInfo[[#This Row],[Last Name]]))</f>
        <v>Jeremy Jacoby</v>
      </c>
      <c r="B491" t="s">
        <v>482</v>
      </c>
      <c r="C491" t="s">
        <v>483</v>
      </c>
      <c r="F491" s="52">
        <v>4052058996</v>
      </c>
      <c r="G491" s="52" t="s">
        <v>484</v>
      </c>
      <c r="H491" t="s">
        <v>485</v>
      </c>
      <c r="Q491">
        <f>--ISNUMBER(SEARCH('RC Checklist'!$G$2,A491))</f>
        <v>0</v>
      </c>
      <c r="R491" t="str">
        <f>IF(Q491=1,COUNTIF($Q$2:$Q491,1),"")</f>
        <v/>
      </c>
      <c r="S491" t="str">
        <f>IFERROR(INDEX(ClientInfo[Full Name], MATCH(ROWS($R$2:$R491),ClientInfo[frequency], 0)),"")</f>
        <v/>
      </c>
    </row>
    <row r="492" spans="1:19">
      <c r="A492" t="str">
        <f>TRIM(CONCATENATE(ClientInfo[[#This Row],[First Name]], " ",ClientInfo[[#This Row],[Last Name]]))</f>
        <v>Jerry henderson</v>
      </c>
      <c r="B492" t="s">
        <v>2129</v>
      </c>
      <c r="C492" t="s">
        <v>2130</v>
      </c>
      <c r="F492" s="52">
        <v>4105124226</v>
      </c>
      <c r="Q492">
        <f>--ISNUMBER(SEARCH('RC Checklist'!$G$2,A492))</f>
        <v>0</v>
      </c>
      <c r="R492" t="str">
        <f>IF(Q492=1,COUNTIF($Q$2:$Q492,1),"")</f>
        <v/>
      </c>
      <c r="S492" t="str">
        <f>IFERROR(INDEX(ClientInfo[Full Name], MATCH(ROWS($R$2:$R492),ClientInfo[frequency], 0)),"")</f>
        <v/>
      </c>
    </row>
    <row r="493" spans="1:19">
      <c r="A493" t="str">
        <f>TRIM(CONCATENATE(ClientInfo[[#This Row],[First Name]], " ",ClientInfo[[#This Row],[Last Name]]))</f>
        <v>Jerry Preston</v>
      </c>
      <c r="B493" t="s">
        <v>2738</v>
      </c>
      <c r="D493" t="s">
        <v>2738</v>
      </c>
      <c r="F493" s="52" t="s">
        <v>2739</v>
      </c>
      <c r="Q493">
        <f>--ISNUMBER(SEARCH('RC Checklist'!$G$2,A493))</f>
        <v>0</v>
      </c>
      <c r="R493" t="str">
        <f>IF(Q493=1,COUNTIF($Q$2:$Q493,1),"")</f>
        <v/>
      </c>
      <c r="S493" t="str">
        <f>IFERROR(INDEX(ClientInfo[Full Name], MATCH(ROWS($R$2:$R493),ClientInfo[frequency], 0)),"")</f>
        <v/>
      </c>
    </row>
    <row r="494" spans="1:19">
      <c r="A494" t="str">
        <f>TRIM(CONCATENATE(ClientInfo[[#This Row],[First Name]], " ",ClientInfo[[#This Row],[Last Name]]))</f>
        <v>Jerrys Chevrolet</v>
      </c>
      <c r="B494" t="s">
        <v>1125</v>
      </c>
      <c r="C494" t="s">
        <v>1126</v>
      </c>
      <c r="F494" s="52">
        <v>4106619100</v>
      </c>
      <c r="P494" t="s">
        <v>1127</v>
      </c>
      <c r="Q494">
        <f>--ISNUMBER(SEARCH('RC Checklist'!$G$2,A494))</f>
        <v>0</v>
      </c>
      <c r="R494" t="str">
        <f>IF(Q494=1,COUNTIF($Q$2:$Q494,1),"")</f>
        <v/>
      </c>
      <c r="S494" t="str">
        <f>IFERROR(INDEX(ClientInfo[Full Name], MATCH(ROWS($R$2:$R494),ClientInfo[frequency], 0)),"")</f>
        <v/>
      </c>
    </row>
    <row r="495" spans="1:19">
      <c r="A495" t="str">
        <f>TRIM(CONCATENATE(ClientInfo[[#This Row],[First Name]], " ",ClientInfo[[#This Row],[Last Name]]))</f>
        <v>Jesse</v>
      </c>
      <c r="B495" t="s">
        <v>992</v>
      </c>
      <c r="D495" t="s">
        <v>993</v>
      </c>
      <c r="F495" s="52" t="s">
        <v>994</v>
      </c>
      <c r="Q495">
        <f>--ISNUMBER(SEARCH('RC Checklist'!$G$2,A495))</f>
        <v>0</v>
      </c>
      <c r="R495" t="str">
        <f>IF(Q495=1,COUNTIF($Q$2:$Q495,1),"")</f>
        <v/>
      </c>
      <c r="S495" t="str">
        <f>IFERROR(INDEX(ClientInfo[Full Name], MATCH(ROWS($R$2:$R495),ClientInfo[frequency], 0)),"")</f>
        <v/>
      </c>
    </row>
    <row r="496" spans="1:19">
      <c r="A496" t="str">
        <f>TRIM(CONCATENATE(ClientInfo[[#This Row],[First Name]], " ",ClientInfo[[#This Row],[Last Name]]))</f>
        <v>Jessica Wienhold</v>
      </c>
      <c r="B496" t="s">
        <v>833</v>
      </c>
      <c r="C496" t="s">
        <v>834</v>
      </c>
      <c r="F496" s="52">
        <v>4434659504</v>
      </c>
      <c r="Q496">
        <f>--ISNUMBER(SEARCH('RC Checklist'!$G$2,A496))</f>
        <v>0</v>
      </c>
      <c r="R496" t="str">
        <f>IF(Q496=1,COUNTIF($Q$2:$Q496,1),"")</f>
        <v/>
      </c>
      <c r="S496" t="str">
        <f>IFERROR(INDEX(ClientInfo[Full Name], MATCH(ROWS($R$2:$R496),ClientInfo[frequency], 0)),"")</f>
        <v/>
      </c>
    </row>
    <row r="497" spans="1:19">
      <c r="A497" t="str">
        <f>TRIM(CONCATENATE(ClientInfo[[#This Row],[First Name]], " ",ClientInfo[[#This Row],[Last Name]]))</f>
        <v>Jewl</v>
      </c>
      <c r="B497" t="s">
        <v>1216</v>
      </c>
      <c r="F497" s="52">
        <v>4109605720</v>
      </c>
      <c r="Q497">
        <f>--ISNUMBER(SEARCH('RC Checklist'!$G$2,A497))</f>
        <v>0</v>
      </c>
      <c r="R497" t="str">
        <f>IF(Q497=1,COUNTIF($Q$2:$Q497,1),"")</f>
        <v/>
      </c>
      <c r="S497" t="str">
        <f>IFERROR(INDEX(ClientInfo[Full Name], MATCH(ROWS($R$2:$R497),ClientInfo[frequency], 0)),"")</f>
        <v/>
      </c>
    </row>
    <row r="498" spans="1:19">
      <c r="A498" t="str">
        <f>TRIM(CONCATENATE(ClientInfo[[#This Row],[First Name]], " ",ClientInfo[[#This Row],[Last Name]]))</f>
        <v>Jill</v>
      </c>
      <c r="B498" t="s">
        <v>1632</v>
      </c>
      <c r="F498" s="52">
        <v>7175808577</v>
      </c>
      <c r="Q498">
        <f>--ISNUMBER(SEARCH('RC Checklist'!$G$2,A498))</f>
        <v>0</v>
      </c>
      <c r="R498" t="str">
        <f>IF(Q498=1,COUNTIF($Q$2:$Q498,1),"")</f>
        <v/>
      </c>
      <c r="S498" t="str">
        <f>IFERROR(INDEX(ClientInfo[Full Name], MATCH(ROWS($R$2:$R498),ClientInfo[frequency], 0)),"")</f>
        <v/>
      </c>
    </row>
    <row r="499" spans="1:19">
      <c r="A499" t="str">
        <f>TRIM(CONCATENATE(ClientInfo[[#This Row],[First Name]], " ",ClientInfo[[#This Row],[Last Name]]))</f>
        <v>Jill Lawrence</v>
      </c>
      <c r="B499" t="s">
        <v>1632</v>
      </c>
      <c r="C499" t="s">
        <v>383</v>
      </c>
      <c r="F499" s="52" t="s">
        <v>2586</v>
      </c>
      <c r="Q499">
        <f>--ISNUMBER(SEARCH('RC Checklist'!$G$2,A499))</f>
        <v>0</v>
      </c>
      <c r="R499" t="str">
        <f>IF(Q499=1,COUNTIF($Q$2:$Q499,1),"")</f>
        <v/>
      </c>
      <c r="S499" t="str">
        <f>IFERROR(INDEX(ClientInfo[Full Name], MATCH(ROWS($R$2:$R499),ClientInfo[frequency], 0)),"")</f>
        <v/>
      </c>
    </row>
    <row r="500" spans="1:19">
      <c r="A500" t="str">
        <f>TRIM(CONCATENATE(ClientInfo[[#This Row],[First Name]], " ",ClientInfo[[#This Row],[Last Name]]))</f>
        <v>Jim</v>
      </c>
      <c r="B500" t="s">
        <v>396</v>
      </c>
      <c r="D500" t="s">
        <v>2502</v>
      </c>
      <c r="F500" s="52">
        <v>13017851573</v>
      </c>
      <c r="Q500">
        <f>--ISNUMBER(SEARCH('RC Checklist'!$G$2,A500))</f>
        <v>0</v>
      </c>
      <c r="R500" t="str">
        <f>IF(Q500=1,COUNTIF($Q$2:$Q500,1),"")</f>
        <v/>
      </c>
      <c r="S500" t="str">
        <f>IFERROR(INDEX(ClientInfo[Full Name], MATCH(ROWS($R$2:$R500),ClientInfo[frequency], 0)),"")</f>
        <v/>
      </c>
    </row>
    <row r="501" spans="1:19">
      <c r="A501" t="str">
        <f>TRIM(CONCATENATE(ClientInfo[[#This Row],[First Name]], " ",ClientInfo[[#This Row],[Last Name]]))</f>
        <v>Jim Buckmeyer</v>
      </c>
      <c r="B501" t="s">
        <v>396</v>
      </c>
      <c r="C501" t="s">
        <v>743</v>
      </c>
      <c r="F501" s="52" t="s">
        <v>1034</v>
      </c>
      <c r="Q501">
        <f>--ISNUMBER(SEARCH('RC Checklist'!$G$2,A501))</f>
        <v>0</v>
      </c>
      <c r="R501" t="str">
        <f>IF(Q501=1,COUNTIF($Q$2:$Q501,1),"")</f>
        <v/>
      </c>
      <c r="S501" t="str">
        <f>IFERROR(INDEX(ClientInfo[Full Name], MATCH(ROWS($R$2:$R501),ClientInfo[frequency], 0)),"")</f>
        <v/>
      </c>
    </row>
    <row r="502" spans="1:19">
      <c r="A502" t="str">
        <f>TRIM(CONCATENATE(ClientInfo[[#This Row],[First Name]], " ",ClientInfo[[#This Row],[Last Name]]))</f>
        <v>Jim caine</v>
      </c>
      <c r="B502" t="s">
        <v>396</v>
      </c>
      <c r="C502" t="s">
        <v>1863</v>
      </c>
      <c r="F502" s="52">
        <v>4436235933</v>
      </c>
      <c r="Q502">
        <f>--ISNUMBER(SEARCH('RC Checklist'!$G$2,A502))</f>
        <v>0</v>
      </c>
      <c r="R502" t="str">
        <f>IF(Q502=1,COUNTIF($Q$2:$Q502,1),"")</f>
        <v/>
      </c>
      <c r="S502" t="str">
        <f>IFERROR(INDEX(ClientInfo[Full Name], MATCH(ROWS($R$2:$R502),ClientInfo[frequency], 0)),"")</f>
        <v/>
      </c>
    </row>
    <row r="503" spans="1:19">
      <c r="A503" t="str">
        <f>TRIM(CONCATENATE(ClientInfo[[#This Row],[First Name]], " ",ClientInfo[[#This Row],[Last Name]]))</f>
        <v>Jim Emerick</v>
      </c>
      <c r="B503" t="s">
        <v>396</v>
      </c>
      <c r="C503" t="s">
        <v>2680</v>
      </c>
      <c r="F503" s="52">
        <v>4433246524</v>
      </c>
      <c r="Q503">
        <f>--ISNUMBER(SEARCH('RC Checklist'!$G$2,A503))</f>
        <v>0</v>
      </c>
      <c r="R503" t="str">
        <f>IF(Q503=1,COUNTIF($Q$2:$Q503,1),"")</f>
        <v/>
      </c>
      <c r="S503" t="str">
        <f>IFERROR(INDEX(ClientInfo[Full Name], MATCH(ROWS($R$2:$R503),ClientInfo[frequency], 0)),"")</f>
        <v/>
      </c>
    </row>
    <row r="504" spans="1:19">
      <c r="A504" t="str">
        <f>TRIM(CONCATENATE(ClientInfo[[#This Row],[First Name]], " ",ClientInfo[[#This Row],[Last Name]]))</f>
        <v>Jim Eustice</v>
      </c>
      <c r="B504" t="s">
        <v>396</v>
      </c>
      <c r="C504" t="s">
        <v>536</v>
      </c>
      <c r="F504" s="52">
        <v>4103393732</v>
      </c>
      <c r="G504" s="52">
        <v>4102298200</v>
      </c>
      <c r="Q504">
        <f>--ISNUMBER(SEARCH('RC Checklist'!$G$2,A504))</f>
        <v>0</v>
      </c>
      <c r="R504" t="str">
        <f>IF(Q504=1,COUNTIF($Q$2:$Q504,1),"")</f>
        <v/>
      </c>
      <c r="S504" t="str">
        <f>IFERROR(INDEX(ClientInfo[Full Name], MATCH(ROWS($R$2:$R504),ClientInfo[frequency], 0)),"")</f>
        <v/>
      </c>
    </row>
    <row r="505" spans="1:19">
      <c r="A505" t="str">
        <f>TRIM(CONCATENATE(ClientInfo[[#This Row],[First Name]], " ",ClientInfo[[#This Row],[Last Name]]))</f>
        <v>Jim Gilbert</v>
      </c>
      <c r="B505" t="s">
        <v>396</v>
      </c>
      <c r="C505" t="s">
        <v>1043</v>
      </c>
      <c r="D505" t="s">
        <v>1044</v>
      </c>
      <c r="Q505">
        <f>--ISNUMBER(SEARCH('RC Checklist'!$G$2,A505))</f>
        <v>0</v>
      </c>
      <c r="R505" t="str">
        <f>IF(Q505=1,COUNTIF($Q$2:$Q505,1),"")</f>
        <v/>
      </c>
      <c r="S505" t="str">
        <f>IFERROR(INDEX(ClientInfo[Full Name], MATCH(ROWS($R$2:$R505),ClientInfo[frequency], 0)),"")</f>
        <v/>
      </c>
    </row>
    <row r="506" spans="1:19">
      <c r="A506" t="str">
        <f>TRIM(CONCATENATE(ClientInfo[[#This Row],[First Name]], " ",ClientInfo[[#This Row],[Last Name]]))</f>
        <v>Jim holls</v>
      </c>
      <c r="B506" t="s">
        <v>396</v>
      </c>
      <c r="C506" t="s">
        <v>397</v>
      </c>
      <c r="F506" s="52">
        <v>4109260825</v>
      </c>
      <c r="G506" s="52">
        <v>4105124551</v>
      </c>
      <c r="H506" t="s">
        <v>398</v>
      </c>
      <c r="O506" t="s">
        <v>399</v>
      </c>
      <c r="Q506">
        <f>--ISNUMBER(SEARCH('RC Checklist'!$G$2,A506))</f>
        <v>0</v>
      </c>
      <c r="R506" t="str">
        <f>IF(Q506=1,COUNTIF($Q$2:$Q506,1),"")</f>
        <v/>
      </c>
      <c r="S506" t="str">
        <f>IFERROR(INDEX(ClientInfo[Full Name], MATCH(ROWS($R$2:$R506),ClientInfo[frequency], 0)),"")</f>
        <v/>
      </c>
    </row>
    <row r="507" spans="1:19">
      <c r="A507" t="str">
        <f>TRIM(CONCATENATE(ClientInfo[[#This Row],[First Name]], " ",ClientInfo[[#This Row],[Last Name]]))</f>
        <v>Jim Kincaid</v>
      </c>
      <c r="B507" t="s">
        <v>396</v>
      </c>
      <c r="C507" t="s">
        <v>1752</v>
      </c>
      <c r="F507" s="52">
        <v>4106656341</v>
      </c>
      <c r="G507" s="52" t="s">
        <v>1753</v>
      </c>
      <c r="Q507">
        <f>--ISNUMBER(SEARCH('RC Checklist'!$G$2,A507))</f>
        <v>0</v>
      </c>
      <c r="R507" t="str">
        <f>IF(Q507=1,COUNTIF($Q$2:$Q507,1),"")</f>
        <v/>
      </c>
      <c r="S507" t="str">
        <f>IFERROR(INDEX(ClientInfo[Full Name], MATCH(ROWS($R$2:$R507),ClientInfo[frequency], 0)),"")</f>
        <v/>
      </c>
    </row>
    <row r="508" spans="1:19">
      <c r="A508" t="str">
        <f>TRIM(CONCATENATE(ClientInfo[[#This Row],[First Name]], " ",ClientInfo[[#This Row],[Last Name]]))</f>
        <v>Jim Parker</v>
      </c>
      <c r="B508" t="s">
        <v>396</v>
      </c>
      <c r="C508" t="s">
        <v>255</v>
      </c>
      <c r="D508" t="s">
        <v>835</v>
      </c>
      <c r="F508" s="52" t="s">
        <v>836</v>
      </c>
      <c r="Q508">
        <f>--ISNUMBER(SEARCH('RC Checklist'!$G$2,A508))</f>
        <v>0</v>
      </c>
      <c r="R508" t="str">
        <f>IF(Q508=1,COUNTIF($Q$2:$Q508,1),"")</f>
        <v/>
      </c>
      <c r="S508" t="str">
        <f>IFERROR(INDEX(ClientInfo[Full Name], MATCH(ROWS($R$2:$R508),ClientInfo[frequency], 0)),"")</f>
        <v/>
      </c>
    </row>
    <row r="509" spans="1:19">
      <c r="A509" t="str">
        <f>TRIM(CONCATENATE(ClientInfo[[#This Row],[First Name]], " ",ClientInfo[[#This Row],[Last Name]]))</f>
        <v>Jim quigley</v>
      </c>
      <c r="B509" t="s">
        <v>396</v>
      </c>
      <c r="C509" t="s">
        <v>1371</v>
      </c>
      <c r="F509" s="52">
        <v>4434657233</v>
      </c>
      <c r="Q509">
        <f>--ISNUMBER(SEARCH('RC Checklist'!$G$2,A509))</f>
        <v>0</v>
      </c>
      <c r="R509" t="str">
        <f>IF(Q509=1,COUNTIF($Q$2:$Q509,1),"")</f>
        <v/>
      </c>
      <c r="S509" t="str">
        <f>IFERROR(INDEX(ClientInfo[Full Name], MATCH(ROWS($R$2:$R509),ClientInfo[frequency], 0)),"")</f>
        <v/>
      </c>
    </row>
    <row r="510" spans="1:19">
      <c r="A510" t="str">
        <f>TRIM(CONCATENATE(ClientInfo[[#This Row],[First Name]], " ",ClientInfo[[#This Row],[Last Name]]))</f>
        <v>Jim rochard</v>
      </c>
      <c r="B510" t="s">
        <v>396</v>
      </c>
      <c r="C510" t="s">
        <v>1333</v>
      </c>
      <c r="F510" s="52">
        <v>4435066788</v>
      </c>
      <c r="Q510">
        <f>--ISNUMBER(SEARCH('RC Checklist'!$G$2,A510))</f>
        <v>0</v>
      </c>
      <c r="R510" t="str">
        <f>IF(Q510=1,COUNTIF($Q$2:$Q510,1),"")</f>
        <v/>
      </c>
      <c r="S510" t="str">
        <f>IFERROR(INDEX(ClientInfo[Full Name], MATCH(ROWS($R$2:$R510),ClientInfo[frequency], 0)),"")</f>
        <v/>
      </c>
    </row>
    <row r="511" spans="1:19">
      <c r="A511" t="str">
        <f>TRIM(CONCATENATE(ClientInfo[[#This Row],[First Name]], " ",ClientInfo[[#This Row],[Last Name]]))</f>
        <v>Jim Rube</v>
      </c>
      <c r="B511" t="s">
        <v>396</v>
      </c>
      <c r="C511" t="s">
        <v>2256</v>
      </c>
      <c r="F511" s="52">
        <v>8456612362</v>
      </c>
      <c r="Q511">
        <f>--ISNUMBER(SEARCH('RC Checklist'!$G$2,A511))</f>
        <v>0</v>
      </c>
      <c r="R511" t="str">
        <f>IF(Q511=1,COUNTIF($Q$2:$Q511,1),"")</f>
        <v/>
      </c>
      <c r="S511" t="str">
        <f>IFERROR(INDEX(ClientInfo[Full Name], MATCH(ROWS($R$2:$R511),ClientInfo[frequency], 0)),"")</f>
        <v/>
      </c>
    </row>
    <row r="512" spans="1:19">
      <c r="A512" t="str">
        <f>TRIM(CONCATENATE(ClientInfo[[#This Row],[First Name]], " ",ClientInfo[[#This Row],[Last Name]]))</f>
        <v>Jim valarino</v>
      </c>
      <c r="B512" t="s">
        <v>396</v>
      </c>
      <c r="C512" t="s">
        <v>2631</v>
      </c>
      <c r="F512" s="52">
        <v>4103574343</v>
      </c>
      <c r="H512" t="s">
        <v>2632</v>
      </c>
      <c r="Q512">
        <f>--ISNUMBER(SEARCH('RC Checklist'!$G$2,A512))</f>
        <v>0</v>
      </c>
      <c r="R512" t="str">
        <f>IF(Q512=1,COUNTIF($Q$2:$Q512,1),"")</f>
        <v/>
      </c>
      <c r="S512" t="str">
        <f>IFERROR(INDEX(ClientInfo[Full Name], MATCH(ROWS($R$2:$R512),ClientInfo[frequency], 0)),"")</f>
        <v/>
      </c>
    </row>
    <row r="513" spans="1:19">
      <c r="A513" t="str">
        <f>TRIM(CONCATENATE(ClientInfo[[#This Row],[First Name]], " ",ClientInfo[[#This Row],[Last Name]]))</f>
        <v>Jim Walsh</v>
      </c>
      <c r="B513" t="s">
        <v>396</v>
      </c>
      <c r="C513" t="s">
        <v>1911</v>
      </c>
      <c r="F513" s="52">
        <v>2154212269</v>
      </c>
      <c r="G513" s="52">
        <v>2153791101</v>
      </c>
      <c r="P513" t="s">
        <v>1912</v>
      </c>
      <c r="Q513">
        <f>--ISNUMBER(SEARCH('RC Checklist'!$G$2,A513))</f>
        <v>0</v>
      </c>
      <c r="R513" t="str">
        <f>IF(Q513=1,COUNTIF($Q$2:$Q513,1),"")</f>
        <v/>
      </c>
      <c r="S513" t="str">
        <f>IFERROR(INDEX(ClientInfo[Full Name], MATCH(ROWS($R$2:$R513),ClientInfo[frequency], 0)),"")</f>
        <v/>
      </c>
    </row>
    <row r="514" spans="1:19">
      <c r="A514" t="str">
        <f>TRIM(CONCATENATE(ClientInfo[[#This Row],[First Name]], " ",ClientInfo[[#This Row],[Last Name]]))</f>
        <v>Jimmy Hibsman</v>
      </c>
      <c r="B514" t="s">
        <v>1943</v>
      </c>
      <c r="C514" t="s">
        <v>1944</v>
      </c>
      <c r="D514" t="s">
        <v>1945</v>
      </c>
      <c r="F514" s="52" t="s">
        <v>1946</v>
      </c>
      <c r="Q514">
        <f>--ISNUMBER(SEARCH('RC Checklist'!$G$2,A514))</f>
        <v>0</v>
      </c>
      <c r="R514" t="str">
        <f>IF(Q514=1,COUNTIF($Q$2:$Q514,1),"")</f>
        <v/>
      </c>
      <c r="S514" t="str">
        <f>IFERROR(INDEX(ClientInfo[Full Name], MATCH(ROWS($R$2:$R514),ClientInfo[frequency], 0)),"")</f>
        <v/>
      </c>
    </row>
    <row r="515" spans="1:19">
      <c r="A515" t="str">
        <f>TRIM(CONCATENATE(ClientInfo[[#This Row],[First Name]], " ",ClientInfo[[#This Row],[Last Name]]))</f>
        <v>Joan</v>
      </c>
      <c r="B515" t="s">
        <v>856</v>
      </c>
      <c r="F515" s="52" t="s">
        <v>919</v>
      </c>
      <c r="Q515">
        <f>--ISNUMBER(SEARCH('RC Checklist'!$G$2,A515))</f>
        <v>0</v>
      </c>
      <c r="R515" t="str">
        <f>IF(Q515=1,COUNTIF($Q$2:$Q515,1),"")</f>
        <v/>
      </c>
      <c r="S515" t="str">
        <f>IFERROR(INDEX(ClientInfo[Full Name], MATCH(ROWS($R$2:$R515),ClientInfo[frequency], 0)),"")</f>
        <v/>
      </c>
    </row>
    <row r="516" spans="1:19">
      <c r="A516" t="str">
        <f>TRIM(CONCATENATE(ClientInfo[[#This Row],[First Name]], " ",ClientInfo[[#This Row],[Last Name]]))</f>
        <v>Joan Proctor</v>
      </c>
      <c r="B516" t="s">
        <v>856</v>
      </c>
      <c r="C516" t="s">
        <v>857</v>
      </c>
      <c r="Q516">
        <f>--ISNUMBER(SEARCH('RC Checklist'!$G$2,A516))</f>
        <v>0</v>
      </c>
      <c r="R516" t="str">
        <f>IF(Q516=1,COUNTIF($Q$2:$Q516,1),"")</f>
        <v/>
      </c>
      <c r="S516" t="str">
        <f>IFERROR(INDEX(ClientInfo[Full Name], MATCH(ROWS($R$2:$R516),ClientInfo[frequency], 0)),"")</f>
        <v/>
      </c>
    </row>
    <row r="517" spans="1:19">
      <c r="A517" t="str">
        <f>TRIM(CONCATENATE(ClientInfo[[#This Row],[First Name]], " ",ClientInfo[[#This Row],[Last Name]]))</f>
        <v>Joann Boyd</v>
      </c>
      <c r="B517" t="s">
        <v>552</v>
      </c>
      <c r="C517" t="s">
        <v>980</v>
      </c>
      <c r="F517" s="52" t="s">
        <v>981</v>
      </c>
      <c r="Q517">
        <f>--ISNUMBER(SEARCH('RC Checklist'!$G$2,A517))</f>
        <v>0</v>
      </c>
      <c r="R517" t="str">
        <f>IF(Q517=1,COUNTIF($Q$2:$Q517,1),"")</f>
        <v/>
      </c>
      <c r="S517" t="str">
        <f>IFERROR(INDEX(ClientInfo[Full Name], MATCH(ROWS($R$2:$R517),ClientInfo[frequency], 0)),"")</f>
        <v/>
      </c>
    </row>
    <row r="518" spans="1:19">
      <c r="A518" t="str">
        <f>TRIM(CONCATENATE(ClientInfo[[#This Row],[First Name]], " ",ClientInfo[[#This Row],[Last Name]]))</f>
        <v>Jo-Ann Fabric</v>
      </c>
      <c r="B518" t="s">
        <v>2916</v>
      </c>
      <c r="D518" t="s">
        <v>2916</v>
      </c>
      <c r="F518" s="52" t="s">
        <v>2917</v>
      </c>
      <c r="O518" t="s">
        <v>2918</v>
      </c>
      <c r="Q518">
        <f>--ISNUMBER(SEARCH('RC Checklist'!$G$2,A518))</f>
        <v>0</v>
      </c>
      <c r="R518" t="str">
        <f>IF(Q518=1,COUNTIF($Q$2:$Q518,1),"")</f>
        <v/>
      </c>
      <c r="S518" t="str">
        <f>IFERROR(INDEX(ClientInfo[Full Name], MATCH(ROWS($R$2:$R518),ClientInfo[frequency], 0)),"")</f>
        <v/>
      </c>
    </row>
    <row r="519" spans="1:19">
      <c r="A519" t="str">
        <f>TRIM(CONCATENATE(ClientInfo[[#This Row],[First Name]], " ",ClientInfo[[#This Row],[Last Name]]))</f>
        <v>Joann Graham</v>
      </c>
      <c r="B519" t="s">
        <v>552</v>
      </c>
      <c r="C519" t="s">
        <v>553</v>
      </c>
      <c r="F519" s="52" t="s">
        <v>554</v>
      </c>
      <c r="Q519">
        <f>--ISNUMBER(SEARCH('RC Checklist'!$G$2,A519))</f>
        <v>0</v>
      </c>
      <c r="R519" t="str">
        <f>IF(Q519=1,COUNTIF($Q$2:$Q519,1),"")</f>
        <v/>
      </c>
      <c r="S519" t="str">
        <f>IFERROR(INDEX(ClientInfo[Full Name], MATCH(ROWS($R$2:$R519),ClientInfo[frequency], 0)),"")</f>
        <v/>
      </c>
    </row>
    <row r="520" spans="1:19">
      <c r="A520" t="str">
        <f>TRIM(CONCATENATE(ClientInfo[[#This Row],[First Name]], " ",ClientInfo[[#This Row],[Last Name]]))</f>
        <v>Joanne Gizzi</v>
      </c>
      <c r="B520" t="s">
        <v>2767</v>
      </c>
      <c r="C520" t="s">
        <v>2768</v>
      </c>
      <c r="F520" s="52">
        <v>4432869074</v>
      </c>
      <c r="G520" s="52">
        <v>4103283822</v>
      </c>
      <c r="Q520">
        <f>--ISNUMBER(SEARCH('RC Checklist'!$G$2,A520))</f>
        <v>0</v>
      </c>
      <c r="R520" t="str">
        <f>IF(Q520=1,COUNTIF($Q$2:$Q520,1),"")</f>
        <v/>
      </c>
      <c r="S520" t="str">
        <f>IFERROR(INDEX(ClientInfo[Full Name], MATCH(ROWS($R$2:$R520),ClientInfo[frequency], 0)),"")</f>
        <v/>
      </c>
    </row>
    <row r="521" spans="1:19">
      <c r="A521" t="str">
        <f>TRIM(CONCATENATE(ClientInfo[[#This Row],[First Name]], " ",ClientInfo[[#This Row],[Last Name]]))</f>
        <v>Joe</v>
      </c>
      <c r="B521" t="s">
        <v>1467</v>
      </c>
      <c r="D521" t="s">
        <v>2485</v>
      </c>
      <c r="F521" s="52" t="s">
        <v>2486</v>
      </c>
      <c r="Q521">
        <f>--ISNUMBER(SEARCH('RC Checklist'!$G$2,A521))</f>
        <v>0</v>
      </c>
      <c r="R521" t="str">
        <f>IF(Q521=1,COUNTIF($Q$2:$Q521,1),"")</f>
        <v/>
      </c>
      <c r="S521" t="str">
        <f>IFERROR(INDEX(ClientInfo[Full Name], MATCH(ROWS($R$2:$R521),ClientInfo[frequency], 0)),"")</f>
        <v/>
      </c>
    </row>
    <row r="522" spans="1:19">
      <c r="A522" t="str">
        <f>TRIM(CONCATENATE(ClientInfo[[#This Row],[First Name]], " ",ClientInfo[[#This Row],[Last Name]]))</f>
        <v>Joe &amp; Kim Nawrocki</v>
      </c>
      <c r="B522" t="s">
        <v>1128</v>
      </c>
      <c r="C522" t="s">
        <v>1129</v>
      </c>
      <c r="Q522">
        <f>--ISNUMBER(SEARCH('RC Checklist'!$G$2,A522))</f>
        <v>0</v>
      </c>
      <c r="R522" t="str">
        <f>IF(Q522=1,COUNTIF($Q$2:$Q522,1),"")</f>
        <v/>
      </c>
      <c r="S522" t="str">
        <f>IFERROR(INDEX(ClientInfo[Full Name], MATCH(ROWS($R$2:$R522),ClientInfo[frequency], 0)),"")</f>
        <v/>
      </c>
    </row>
    <row r="523" spans="1:19">
      <c r="A523" t="str">
        <f>TRIM(CONCATENATE(ClientInfo[[#This Row],[First Name]], " ",ClientInfo[[#This Row],[Last Name]]))</f>
        <v>Joe Feeedman</v>
      </c>
      <c r="B523" t="s">
        <v>1467</v>
      </c>
      <c r="C523" t="s">
        <v>1468</v>
      </c>
      <c r="F523" s="52">
        <v>4109529145</v>
      </c>
      <c r="Q523">
        <f>--ISNUMBER(SEARCH('RC Checklist'!$G$2,A523))</f>
        <v>0</v>
      </c>
      <c r="R523" t="str">
        <f>IF(Q523=1,COUNTIF($Q$2:$Q523,1),"")</f>
        <v/>
      </c>
      <c r="S523" t="str">
        <f>IFERROR(INDEX(ClientInfo[Full Name], MATCH(ROWS($R$2:$R523),ClientInfo[frequency], 0)),"")</f>
        <v/>
      </c>
    </row>
    <row r="524" spans="1:19">
      <c r="A524" t="str">
        <f>TRIM(CONCATENATE(ClientInfo[[#This Row],[First Name]], " ",ClientInfo[[#This Row],[Last Name]]))</f>
        <v>Joe Gaultney</v>
      </c>
      <c r="B524" t="s">
        <v>1467</v>
      </c>
      <c r="C524" t="s">
        <v>2858</v>
      </c>
      <c r="D524" t="s">
        <v>2859</v>
      </c>
      <c r="F524" s="52" t="s">
        <v>2860</v>
      </c>
      <c r="Q524">
        <f>--ISNUMBER(SEARCH('RC Checklist'!$G$2,A524))</f>
        <v>0</v>
      </c>
      <c r="R524" t="str">
        <f>IF(Q524=1,COUNTIF($Q$2:$Q524,1),"")</f>
        <v/>
      </c>
      <c r="S524" t="str">
        <f>IFERROR(INDEX(ClientInfo[Full Name], MATCH(ROWS($R$2:$R524),ClientInfo[frequency], 0)),"")</f>
        <v/>
      </c>
    </row>
    <row r="525" spans="1:19">
      <c r="A525" t="str">
        <f>TRIM(CONCATENATE(ClientInfo[[#This Row],[First Name]], " ",ClientInfo[[#This Row],[Last Name]]))</f>
        <v>Joe Klima</v>
      </c>
      <c r="B525" t="s">
        <v>1467</v>
      </c>
      <c r="C525" t="s">
        <v>1801</v>
      </c>
      <c r="F525" s="52">
        <v>4436107215</v>
      </c>
      <c r="G525" s="52">
        <v>4434797812</v>
      </c>
      <c r="P525" t="s">
        <v>1802</v>
      </c>
      <c r="Q525">
        <f>--ISNUMBER(SEARCH('RC Checklist'!$G$2,A525))</f>
        <v>0</v>
      </c>
      <c r="R525" t="str">
        <f>IF(Q525=1,COUNTIF($Q$2:$Q525,1),"")</f>
        <v/>
      </c>
      <c r="S525" t="str">
        <f>IFERROR(INDEX(ClientInfo[Full Name], MATCH(ROWS($R$2:$R525),ClientInfo[frequency], 0)),"")</f>
        <v/>
      </c>
    </row>
    <row r="526" spans="1:19">
      <c r="A526" t="str">
        <f>TRIM(CONCATENATE(ClientInfo[[#This Row],[First Name]], " ",ClientInfo[[#This Row],[Last Name]]))</f>
        <v>Joe Noto</v>
      </c>
      <c r="B526" t="s">
        <v>1467</v>
      </c>
      <c r="C526" t="s">
        <v>2014</v>
      </c>
      <c r="F526" s="52">
        <v>4102743569</v>
      </c>
      <c r="G526" s="52">
        <v>4105172345</v>
      </c>
      <c r="H526" t="s">
        <v>2015</v>
      </c>
      <c r="Q526">
        <f>--ISNUMBER(SEARCH('RC Checklist'!$G$2,A526))</f>
        <v>0</v>
      </c>
      <c r="R526" t="str">
        <f>IF(Q526=1,COUNTIF($Q$2:$Q526,1),"")</f>
        <v/>
      </c>
      <c r="S526" t="str">
        <f>IFERROR(INDEX(ClientInfo[Full Name], MATCH(ROWS($R$2:$R526),ClientInfo[frequency], 0)),"")</f>
        <v/>
      </c>
    </row>
    <row r="527" spans="1:19">
      <c r="A527" t="str">
        <f>TRIM(CONCATENATE(ClientInfo[[#This Row],[First Name]], " ",ClientInfo[[#This Row],[Last Name]]))</f>
        <v>Joe Shagena</v>
      </c>
      <c r="B527" t="s">
        <v>1467</v>
      </c>
      <c r="C527" t="s">
        <v>1642</v>
      </c>
      <c r="D527" t="s">
        <v>1643</v>
      </c>
      <c r="F527" s="52" t="s">
        <v>1644</v>
      </c>
      <c r="G527" s="52" t="s">
        <v>1645</v>
      </c>
      <c r="H527" t="s">
        <v>1646</v>
      </c>
      <c r="O527" t="s">
        <v>1647</v>
      </c>
      <c r="Q527">
        <f>--ISNUMBER(SEARCH('RC Checklist'!$G$2,A527))</f>
        <v>0</v>
      </c>
      <c r="R527" t="str">
        <f>IF(Q527=1,COUNTIF($Q$2:$Q527,1),"")</f>
        <v/>
      </c>
      <c r="S527" t="str">
        <f>IFERROR(INDEX(ClientInfo[Full Name], MATCH(ROWS($R$2:$R527),ClientInfo[frequency], 0)),"")</f>
        <v/>
      </c>
    </row>
    <row r="528" spans="1:19">
      <c r="A528" t="str">
        <f>TRIM(CONCATENATE(ClientInfo[[#This Row],[First Name]], " ",ClientInfo[[#This Row],[Last Name]]))</f>
        <v>Joel &amp; Jennifer Baumgartner</v>
      </c>
      <c r="B528" t="s">
        <v>2541</v>
      </c>
      <c r="C528" t="s">
        <v>2542</v>
      </c>
      <c r="F528" s="52">
        <v>14103713418</v>
      </c>
      <c r="G528" s="52">
        <v>7176981535</v>
      </c>
      <c r="H528" t="s">
        <v>2543</v>
      </c>
      <c r="Q528">
        <f>--ISNUMBER(SEARCH('RC Checklist'!$G$2,A528))</f>
        <v>0</v>
      </c>
      <c r="R528" t="str">
        <f>IF(Q528=1,COUNTIF($Q$2:$Q528,1),"")</f>
        <v/>
      </c>
      <c r="S528" t="str">
        <f>IFERROR(INDEX(ClientInfo[Full Name], MATCH(ROWS($R$2:$R528),ClientInfo[frequency], 0)),"")</f>
        <v/>
      </c>
    </row>
    <row r="529" spans="1:19">
      <c r="A529" t="str">
        <f>TRIM(CONCATENATE(ClientInfo[[#This Row],[First Name]], " ",ClientInfo[[#This Row],[Last Name]]))</f>
        <v>Joel Preparation</v>
      </c>
      <c r="B529" t="s">
        <v>63</v>
      </c>
      <c r="C529" t="s">
        <v>64</v>
      </c>
      <c r="H529" t="s">
        <v>65</v>
      </c>
      <c r="Q529">
        <f>--ISNUMBER(SEARCH('RC Checklist'!$G$2,A529))</f>
        <v>0</v>
      </c>
      <c r="R529" t="str">
        <f>IF(Q529=1,COUNTIF($Q$2:$Q529,1),"")</f>
        <v/>
      </c>
      <c r="S529" t="str">
        <f>IFERROR(INDEX(ClientInfo[Full Name], MATCH(ROWS($R$2:$R529),ClientInfo[frequency], 0)),"")</f>
        <v/>
      </c>
    </row>
    <row r="530" spans="1:19">
      <c r="A530" t="str">
        <f>TRIM(CONCATENATE(ClientInfo[[#This Row],[First Name]], " ",ClientInfo[[#This Row],[Last Name]]))</f>
        <v>John &amp; Charlene Foote</v>
      </c>
      <c r="B530" t="s">
        <v>1326</v>
      </c>
      <c r="C530" t="s">
        <v>1327</v>
      </c>
      <c r="F530" s="52">
        <v>4108043194</v>
      </c>
      <c r="O530" t="s">
        <v>1328</v>
      </c>
      <c r="Q530">
        <f>--ISNUMBER(SEARCH('RC Checklist'!$G$2,A530))</f>
        <v>0</v>
      </c>
      <c r="R530" t="str">
        <f>IF(Q530=1,COUNTIF($Q$2:$Q530,1),"")</f>
        <v/>
      </c>
      <c r="S530" t="str">
        <f>IFERROR(INDEX(ClientInfo[Full Name], MATCH(ROWS($R$2:$R530),ClientInfo[frequency], 0)),"")</f>
        <v/>
      </c>
    </row>
    <row r="531" spans="1:19">
      <c r="A531" t="str">
        <f>TRIM(CONCATENATE(ClientInfo[[#This Row],[First Name]], " ",ClientInfo[[#This Row],[Last Name]]))</f>
        <v>John &amp; Karen Michaels</v>
      </c>
      <c r="B531" t="s">
        <v>329</v>
      </c>
      <c r="C531" t="s">
        <v>330</v>
      </c>
      <c r="H531" t="s">
        <v>331</v>
      </c>
      <c r="P531" s="7">
        <v>8060</v>
      </c>
      <c r="Q531">
        <f>--ISNUMBER(SEARCH('RC Checklist'!$G$2,A531))</f>
        <v>0</v>
      </c>
      <c r="R531" t="str">
        <f>IF(Q531=1,COUNTIF($Q$2:$Q531,1),"")</f>
        <v/>
      </c>
      <c r="S531" t="str">
        <f>IFERROR(INDEX(ClientInfo[Full Name], MATCH(ROWS($R$2:$R531),ClientInfo[frequency], 0)),"")</f>
        <v/>
      </c>
    </row>
    <row r="532" spans="1:19">
      <c r="A532" t="str">
        <f>TRIM(CONCATENATE(ClientInfo[[#This Row],[First Name]], " ",ClientInfo[[#This Row],[Last Name]]))</f>
        <v>John And Paula Mitcherling</v>
      </c>
      <c r="B532" t="s">
        <v>222</v>
      </c>
      <c r="C532" t="s">
        <v>223</v>
      </c>
      <c r="F532" s="52">
        <v>4102521110</v>
      </c>
      <c r="H532" t="s">
        <v>224</v>
      </c>
      <c r="Q532">
        <f>--ISNUMBER(SEARCH('RC Checklist'!$G$2,A532))</f>
        <v>0</v>
      </c>
      <c r="R532" t="str">
        <f>IF(Q532=1,COUNTIF($Q$2:$Q532,1),"")</f>
        <v/>
      </c>
      <c r="S532" t="str">
        <f>IFERROR(INDEX(ClientInfo[Full Name], MATCH(ROWS($R$2:$R532),ClientInfo[frequency], 0)),"")</f>
        <v/>
      </c>
    </row>
    <row r="533" spans="1:19">
      <c r="A533" t="str">
        <f>TRIM(CONCATENATE(ClientInfo[[#This Row],[First Name]], " ",ClientInfo[[#This Row],[Last Name]]))</f>
        <v>John Brown</v>
      </c>
      <c r="B533" t="s">
        <v>414</v>
      </c>
      <c r="C533" t="s">
        <v>1134</v>
      </c>
      <c r="F533" s="52" t="s">
        <v>2385</v>
      </c>
      <c r="G533" s="52" t="s">
        <v>2386</v>
      </c>
      <c r="H533" t="s">
        <v>2387</v>
      </c>
      <c r="O533" t="s">
        <v>2388</v>
      </c>
      <c r="Q533">
        <f>--ISNUMBER(SEARCH('RC Checklist'!$G$2,A533))</f>
        <v>0</v>
      </c>
      <c r="R533" t="str">
        <f>IF(Q533=1,COUNTIF($Q$2:$Q533,1),"")</f>
        <v/>
      </c>
      <c r="S533" t="str">
        <f>IFERROR(INDEX(ClientInfo[Full Name], MATCH(ROWS($R$2:$R533),ClientInfo[frequency], 0)),"")</f>
        <v/>
      </c>
    </row>
    <row r="534" spans="1:19">
      <c r="A534" t="str">
        <f>TRIM(CONCATENATE(ClientInfo[[#This Row],[First Name]], " ",ClientInfo[[#This Row],[Last Name]]))</f>
        <v>John Burcowski</v>
      </c>
      <c r="B534" t="s">
        <v>414</v>
      </c>
      <c r="C534" t="s">
        <v>913</v>
      </c>
      <c r="F534" s="52" t="s">
        <v>914</v>
      </c>
      <c r="G534" s="52" t="s">
        <v>915</v>
      </c>
      <c r="Q534">
        <f>--ISNUMBER(SEARCH('RC Checklist'!$G$2,A534))</f>
        <v>0</v>
      </c>
      <c r="R534" t="str">
        <f>IF(Q534=1,COUNTIF($Q$2:$Q534,1),"")</f>
        <v/>
      </c>
      <c r="S534" t="str">
        <f>IFERROR(INDEX(ClientInfo[Full Name], MATCH(ROWS($R$2:$R534),ClientInfo[frequency], 0)),"")</f>
        <v/>
      </c>
    </row>
    <row r="535" spans="1:19">
      <c r="A535" t="str">
        <f>TRIM(CONCATENATE(ClientInfo[[#This Row],[First Name]], " ",ClientInfo[[#This Row],[Last Name]]))</f>
        <v>John bush</v>
      </c>
      <c r="B535" t="s">
        <v>414</v>
      </c>
      <c r="C535" t="s">
        <v>2471</v>
      </c>
      <c r="F535" s="52">
        <v>4104586480</v>
      </c>
      <c r="Q535">
        <f>--ISNUMBER(SEARCH('RC Checklist'!$G$2,A535))</f>
        <v>0</v>
      </c>
      <c r="R535" t="str">
        <f>IF(Q535=1,COUNTIF($Q$2:$Q535,1),"")</f>
        <v/>
      </c>
      <c r="S535" t="str">
        <f>IFERROR(INDEX(ClientInfo[Full Name], MATCH(ROWS($R$2:$R535),ClientInfo[frequency], 0)),"")</f>
        <v/>
      </c>
    </row>
    <row r="536" spans="1:19">
      <c r="A536" t="str">
        <f>TRIM(CONCATENATE(ClientInfo[[#This Row],[First Name]], " ",ClientInfo[[#This Row],[Last Name]]))</f>
        <v>John Caine</v>
      </c>
      <c r="B536" t="s">
        <v>414</v>
      </c>
      <c r="C536" t="s">
        <v>1159</v>
      </c>
      <c r="F536" s="52" t="s">
        <v>1543</v>
      </c>
      <c r="Q536">
        <f>--ISNUMBER(SEARCH('RC Checklist'!$G$2,A536))</f>
        <v>0</v>
      </c>
      <c r="R536" t="str">
        <f>IF(Q536=1,COUNTIF($Q$2:$Q536,1),"")</f>
        <v/>
      </c>
      <c r="S536" t="str">
        <f>IFERROR(INDEX(ClientInfo[Full Name], MATCH(ROWS($R$2:$R536),ClientInfo[frequency], 0)),"")</f>
        <v/>
      </c>
    </row>
    <row r="537" spans="1:19">
      <c r="A537" t="str">
        <f>TRIM(CONCATENATE(ClientInfo[[#This Row],[First Name]], " ",ClientInfo[[#This Row],[Last Name]]))</f>
        <v>John car</v>
      </c>
      <c r="B537" t="s">
        <v>414</v>
      </c>
      <c r="C537" t="s">
        <v>1676</v>
      </c>
      <c r="F537" s="52">
        <v>4432999710</v>
      </c>
      <c r="Q537">
        <f>--ISNUMBER(SEARCH('RC Checklist'!$G$2,A537))</f>
        <v>0</v>
      </c>
      <c r="R537" t="str">
        <f>IF(Q537=1,COUNTIF($Q$2:$Q537,1),"")</f>
        <v/>
      </c>
      <c r="S537" t="str">
        <f>IFERROR(INDEX(ClientInfo[Full Name], MATCH(ROWS($R$2:$R537),ClientInfo[frequency], 0)),"")</f>
        <v/>
      </c>
    </row>
    <row r="538" spans="1:19">
      <c r="A538" t="str">
        <f>TRIM(CONCATENATE(ClientInfo[[#This Row],[First Name]], " ",ClientInfo[[#This Row],[Last Name]]))</f>
        <v>John Cluever</v>
      </c>
      <c r="B538" t="s">
        <v>414</v>
      </c>
      <c r="C538" t="s">
        <v>1001</v>
      </c>
      <c r="D538" t="s">
        <v>1002</v>
      </c>
      <c r="F538" s="52">
        <v>14438673088</v>
      </c>
      <c r="P538" t="s">
        <v>1003</v>
      </c>
      <c r="Q538">
        <f>--ISNUMBER(SEARCH('RC Checklist'!$G$2,A538))</f>
        <v>0</v>
      </c>
      <c r="R538" t="str">
        <f>IF(Q538=1,COUNTIF($Q$2:$Q538,1),"")</f>
        <v/>
      </c>
      <c r="S538" t="str">
        <f>IFERROR(INDEX(ClientInfo[Full Name], MATCH(ROWS($R$2:$R538),ClientInfo[frequency], 0)),"")</f>
        <v/>
      </c>
    </row>
    <row r="539" spans="1:19">
      <c r="A539" t="str">
        <f>TRIM(CONCATENATE(ClientInfo[[#This Row],[First Name]], " ",ClientInfo[[#This Row],[Last Name]]))</f>
        <v>John dunn</v>
      </c>
      <c r="B539" t="s">
        <v>414</v>
      </c>
      <c r="C539" t="s">
        <v>1967</v>
      </c>
      <c r="F539" s="52">
        <v>7179682388</v>
      </c>
      <c r="Q539">
        <f>--ISNUMBER(SEARCH('RC Checklist'!$G$2,A539))</f>
        <v>0</v>
      </c>
      <c r="R539" t="str">
        <f>IF(Q539=1,COUNTIF($Q$2:$Q539,1),"")</f>
        <v/>
      </c>
      <c r="S539" t="str">
        <f>IFERROR(INDEX(ClientInfo[Full Name], MATCH(ROWS($R$2:$R539),ClientInfo[frequency], 0)),"")</f>
        <v/>
      </c>
    </row>
    <row r="540" spans="1:19">
      <c r="A540" t="str">
        <f>TRIM(CONCATENATE(ClientInfo[[#This Row],[First Name]], " ",ClientInfo[[#This Row],[Last Name]]))</f>
        <v>John gracianie</v>
      </c>
      <c r="B540" t="s">
        <v>414</v>
      </c>
      <c r="C540" t="s">
        <v>415</v>
      </c>
      <c r="F540" s="52">
        <v>4106759401</v>
      </c>
      <c r="G540" s="52" t="s">
        <v>416</v>
      </c>
      <c r="Q540">
        <f>--ISNUMBER(SEARCH('RC Checklist'!$G$2,A540))</f>
        <v>0</v>
      </c>
      <c r="R540" t="str">
        <f>IF(Q540=1,COUNTIF($Q$2:$Q540,1),"")</f>
        <v/>
      </c>
      <c r="S540" t="str">
        <f>IFERROR(INDEX(ClientInfo[Full Name], MATCH(ROWS($R$2:$R540),ClientInfo[frequency], 0)),"")</f>
        <v/>
      </c>
    </row>
    <row r="541" spans="1:19">
      <c r="A541" t="str">
        <f>TRIM(CONCATENATE(ClientInfo[[#This Row],[First Name]], " ",ClientInfo[[#This Row],[Last Name]]))</f>
        <v>John Hayden</v>
      </c>
      <c r="B541" t="s">
        <v>414</v>
      </c>
      <c r="C541" t="s">
        <v>1904</v>
      </c>
      <c r="F541" s="52">
        <v>4108322074</v>
      </c>
      <c r="Q541">
        <f>--ISNUMBER(SEARCH('RC Checklist'!$G$2,A541))</f>
        <v>0</v>
      </c>
      <c r="R541" t="str">
        <f>IF(Q541=1,COUNTIF($Q$2:$Q541,1),"")</f>
        <v/>
      </c>
      <c r="S541" t="str">
        <f>IFERROR(INDEX(ClientInfo[Full Name], MATCH(ROWS($R$2:$R541),ClientInfo[frequency], 0)),"")</f>
        <v/>
      </c>
    </row>
    <row r="542" spans="1:19">
      <c r="A542" t="str">
        <f>TRIM(CONCATENATE(ClientInfo[[#This Row],[First Name]], " ",ClientInfo[[#This Row],[Last Name]]))</f>
        <v>John Hebb</v>
      </c>
      <c r="B542" t="s">
        <v>414</v>
      </c>
      <c r="C542" t="s">
        <v>2736</v>
      </c>
      <c r="F542" s="52" t="s">
        <v>2737</v>
      </c>
      <c r="Q542">
        <f>--ISNUMBER(SEARCH('RC Checklist'!$G$2,A542))</f>
        <v>0</v>
      </c>
      <c r="R542" t="str">
        <f>IF(Q542=1,COUNTIF($Q$2:$Q542,1),"")</f>
        <v/>
      </c>
      <c r="S542" t="str">
        <f>IFERROR(INDEX(ClientInfo[Full Name], MATCH(ROWS($R$2:$R542),ClientInfo[frequency], 0)),"")</f>
        <v/>
      </c>
    </row>
    <row r="543" spans="1:19">
      <c r="A543" t="str">
        <f>TRIM(CONCATENATE(ClientInfo[[#This Row],[First Name]], " ",ClientInfo[[#This Row],[Last Name]]))</f>
        <v>John King</v>
      </c>
      <c r="B543" t="s">
        <v>414</v>
      </c>
      <c r="C543" t="s">
        <v>534</v>
      </c>
      <c r="F543" s="52">
        <v>4109787418</v>
      </c>
      <c r="Q543">
        <f>--ISNUMBER(SEARCH('RC Checklist'!$G$2,A543))</f>
        <v>0</v>
      </c>
      <c r="R543" t="str">
        <f>IF(Q543=1,COUNTIF($Q$2:$Q543,1),"")</f>
        <v/>
      </c>
      <c r="S543" t="str">
        <f>IFERROR(INDEX(ClientInfo[Full Name], MATCH(ROWS($R$2:$R543),ClientInfo[frequency], 0)),"")</f>
        <v/>
      </c>
    </row>
    <row r="544" spans="1:19">
      <c r="A544" t="str">
        <f>TRIM(CONCATENATE(ClientInfo[[#This Row],[First Name]], " ",ClientInfo[[#This Row],[Last Name]]))</f>
        <v>John Madato</v>
      </c>
      <c r="B544" t="s">
        <v>414</v>
      </c>
      <c r="C544" t="s">
        <v>2250</v>
      </c>
      <c r="F544" s="52" t="s">
        <v>2251</v>
      </c>
      <c r="P544" t="s">
        <v>2252</v>
      </c>
      <c r="Q544">
        <f>--ISNUMBER(SEARCH('RC Checklist'!$G$2,A544))</f>
        <v>0</v>
      </c>
      <c r="R544" t="str">
        <f>IF(Q544=1,COUNTIF($Q$2:$Q544,1),"")</f>
        <v/>
      </c>
      <c r="S544" t="str">
        <f>IFERROR(INDEX(ClientInfo[Full Name], MATCH(ROWS($R$2:$R544),ClientInfo[frequency], 0)),"")</f>
        <v/>
      </c>
    </row>
    <row r="545" spans="1:19">
      <c r="A545" t="str">
        <f>TRIM(CONCATENATE(ClientInfo[[#This Row],[First Name]], " ",ClientInfo[[#This Row],[Last Name]]))</f>
        <v>John Miller</v>
      </c>
      <c r="B545" t="s">
        <v>414</v>
      </c>
      <c r="C545" t="s">
        <v>1426</v>
      </c>
      <c r="D545" t="s">
        <v>1566</v>
      </c>
      <c r="F545" s="52" t="s">
        <v>1567</v>
      </c>
      <c r="G545" s="52" t="s">
        <v>1568</v>
      </c>
      <c r="H545" t="s">
        <v>1569</v>
      </c>
      <c r="Q545">
        <f>--ISNUMBER(SEARCH('RC Checklist'!$G$2,A545))</f>
        <v>0</v>
      </c>
      <c r="R545" t="str">
        <f>IF(Q545=1,COUNTIF($Q$2:$Q545,1),"")</f>
        <v/>
      </c>
      <c r="S545" t="str">
        <f>IFERROR(INDEX(ClientInfo[Full Name], MATCH(ROWS($R$2:$R545),ClientInfo[frequency], 0)),"")</f>
        <v/>
      </c>
    </row>
    <row r="546" spans="1:19">
      <c r="A546" t="str">
        <f>TRIM(CONCATENATE(ClientInfo[[#This Row],[First Name]], " ",ClientInfo[[#This Row],[Last Name]]))</f>
        <v>John Pack</v>
      </c>
      <c r="B546" t="s">
        <v>414</v>
      </c>
      <c r="C546" t="s">
        <v>818</v>
      </c>
      <c r="D546" t="s">
        <v>819</v>
      </c>
      <c r="F546" s="52">
        <v>14107902335</v>
      </c>
      <c r="Q546">
        <f>--ISNUMBER(SEARCH('RC Checklist'!$G$2,A546))</f>
        <v>0</v>
      </c>
      <c r="R546" t="str">
        <f>IF(Q546=1,COUNTIF($Q$2:$Q546,1),"")</f>
        <v/>
      </c>
      <c r="S546" t="str">
        <f>IFERROR(INDEX(ClientInfo[Full Name], MATCH(ROWS($R$2:$R546),ClientInfo[frequency], 0)),"")</f>
        <v/>
      </c>
    </row>
    <row r="547" spans="1:19">
      <c r="A547" t="str">
        <f>TRIM(CONCATENATE(ClientInfo[[#This Row],[First Name]], " ",ClientInfo[[#This Row],[Last Name]]))</f>
        <v>John Parks</v>
      </c>
      <c r="B547" t="s">
        <v>414</v>
      </c>
      <c r="C547" t="s">
        <v>998</v>
      </c>
      <c r="D547" t="s">
        <v>999</v>
      </c>
      <c r="F547" s="52" t="s">
        <v>1000</v>
      </c>
      <c r="Q547">
        <f>--ISNUMBER(SEARCH('RC Checklist'!$G$2,A547))</f>
        <v>0</v>
      </c>
      <c r="R547" t="str">
        <f>IF(Q547=1,COUNTIF($Q$2:$Q547,1),"")</f>
        <v/>
      </c>
      <c r="S547" t="str">
        <f>IFERROR(INDEX(ClientInfo[Full Name], MATCH(ROWS($R$2:$R547),ClientInfo[frequency], 0)),"")</f>
        <v/>
      </c>
    </row>
    <row r="548" spans="1:19">
      <c r="A548" t="str">
        <f>TRIM(CONCATENATE(ClientInfo[[#This Row],[First Name]], " ",ClientInfo[[#This Row],[Last Name]]))</f>
        <v>John Payne</v>
      </c>
      <c r="B548" t="s">
        <v>414</v>
      </c>
      <c r="C548" t="s">
        <v>1954</v>
      </c>
      <c r="F548" s="52">
        <v>4432773995</v>
      </c>
      <c r="G548" s="52">
        <v>4108750234</v>
      </c>
      <c r="P548" t="s">
        <v>1955</v>
      </c>
      <c r="Q548">
        <f>--ISNUMBER(SEARCH('RC Checklist'!$G$2,A548))</f>
        <v>0</v>
      </c>
      <c r="R548" t="str">
        <f>IF(Q548=1,COUNTIF($Q$2:$Q548,1),"")</f>
        <v/>
      </c>
      <c r="S548" t="str">
        <f>IFERROR(INDEX(ClientInfo[Full Name], MATCH(ROWS($R$2:$R548),ClientInfo[frequency], 0)),"")</f>
        <v/>
      </c>
    </row>
    <row r="549" spans="1:19">
      <c r="A549" t="str">
        <f>TRIM(CONCATENATE(ClientInfo[[#This Row],[First Name]], " ",ClientInfo[[#This Row],[Last Name]]))</f>
        <v>John perone</v>
      </c>
      <c r="B549" t="s">
        <v>414</v>
      </c>
      <c r="C549" t="s">
        <v>1008</v>
      </c>
      <c r="F549" s="52">
        <v>4437457139</v>
      </c>
      <c r="H549" t="s">
        <v>1009</v>
      </c>
      <c r="Q549">
        <f>--ISNUMBER(SEARCH('RC Checklist'!$G$2,A549))</f>
        <v>0</v>
      </c>
      <c r="R549" t="str">
        <f>IF(Q549=1,COUNTIF($Q$2:$Q549,1),"")</f>
        <v/>
      </c>
      <c r="S549" t="str">
        <f>IFERROR(INDEX(ClientInfo[Full Name], MATCH(ROWS($R$2:$R549),ClientInfo[frequency], 0)),"")</f>
        <v/>
      </c>
    </row>
    <row r="550" spans="1:19">
      <c r="A550" t="str">
        <f>TRIM(CONCATENATE(ClientInfo[[#This Row],[First Name]], " ",ClientInfo[[#This Row],[Last Name]]))</f>
        <v>John Ponias</v>
      </c>
      <c r="B550" t="s">
        <v>414</v>
      </c>
      <c r="C550" t="s">
        <v>613</v>
      </c>
      <c r="F550" s="52" t="s">
        <v>614</v>
      </c>
      <c r="H550" t="s">
        <v>615</v>
      </c>
      <c r="O550" t="s">
        <v>616</v>
      </c>
      <c r="Q550">
        <f>--ISNUMBER(SEARCH('RC Checklist'!$G$2,A550))</f>
        <v>0</v>
      </c>
      <c r="R550" t="str">
        <f>IF(Q550=1,COUNTIF($Q$2:$Q550,1),"")</f>
        <v/>
      </c>
      <c r="S550" t="str">
        <f>IFERROR(INDEX(ClientInfo[Full Name], MATCH(ROWS($R$2:$R550),ClientInfo[frequency], 0)),"")</f>
        <v/>
      </c>
    </row>
    <row r="551" spans="1:19">
      <c r="A551" t="str">
        <f>TRIM(CONCATENATE(ClientInfo[[#This Row],[First Name]], " ",ClientInfo[[#This Row],[Last Name]]))</f>
        <v>John Sieman</v>
      </c>
      <c r="B551" t="s">
        <v>414</v>
      </c>
      <c r="C551" t="s">
        <v>2094</v>
      </c>
      <c r="F551" s="52" t="s">
        <v>2095</v>
      </c>
      <c r="Q551">
        <f>--ISNUMBER(SEARCH('RC Checklist'!$G$2,A551))</f>
        <v>0</v>
      </c>
      <c r="R551" t="str">
        <f>IF(Q551=1,COUNTIF($Q$2:$Q551,1),"")</f>
        <v/>
      </c>
      <c r="S551" t="str">
        <f>IFERROR(INDEX(ClientInfo[Full Name], MATCH(ROWS($R$2:$R551),ClientInfo[frequency], 0)),"")</f>
        <v/>
      </c>
    </row>
    <row r="552" spans="1:19">
      <c r="A552" t="str">
        <f>TRIM(CONCATENATE(ClientInfo[[#This Row],[First Name]], " ",ClientInfo[[#This Row],[Last Name]]))</f>
        <v>John Volk</v>
      </c>
      <c r="B552" t="s">
        <v>414</v>
      </c>
      <c r="C552" t="s">
        <v>678</v>
      </c>
      <c r="F552" s="52" t="s">
        <v>679</v>
      </c>
      <c r="P552" t="s">
        <v>680</v>
      </c>
      <c r="Q552">
        <f>--ISNUMBER(SEARCH('RC Checklist'!$G$2,A552))</f>
        <v>0</v>
      </c>
      <c r="R552" t="str">
        <f>IF(Q552=1,COUNTIF($Q$2:$Q552,1),"")</f>
        <v/>
      </c>
      <c r="S552" t="str">
        <f>IFERROR(INDEX(ClientInfo[Full Name], MATCH(ROWS($R$2:$R552),ClientInfo[frequency], 0)),"")</f>
        <v/>
      </c>
    </row>
    <row r="553" spans="1:19">
      <c r="A553" t="str">
        <f>TRIM(CONCATENATE(ClientInfo[[#This Row],[First Name]], " ",ClientInfo[[#This Row],[Last Name]]))</f>
        <v>John Wyant</v>
      </c>
      <c r="B553" t="s">
        <v>414</v>
      </c>
      <c r="C553" t="s">
        <v>2505</v>
      </c>
      <c r="F553" s="52">
        <v>4105965549</v>
      </c>
      <c r="Q553">
        <f>--ISNUMBER(SEARCH('RC Checklist'!$G$2,A553))</f>
        <v>0</v>
      </c>
      <c r="R553" t="str">
        <f>IF(Q553=1,COUNTIF($Q$2:$Q553,1),"")</f>
        <v/>
      </c>
      <c r="S553" t="str">
        <f>IFERROR(INDEX(ClientInfo[Full Name], MATCH(ROWS($R$2:$R553),ClientInfo[frequency], 0)),"")</f>
        <v/>
      </c>
    </row>
    <row r="554" spans="1:19">
      <c r="A554" t="str">
        <f>TRIM(CONCATENATE(ClientInfo[[#This Row],[First Name]], " ",ClientInfo[[#This Row],[Last Name]]))</f>
        <v>Johnathan Sanchez</v>
      </c>
      <c r="B554" t="s">
        <v>2896</v>
      </c>
      <c r="C554" t="s">
        <v>1103</v>
      </c>
      <c r="F554" s="52">
        <v>14437612486</v>
      </c>
      <c r="H554" t="s">
        <v>2897</v>
      </c>
      <c r="Q554">
        <f>--ISNUMBER(SEARCH('RC Checklist'!$G$2,A554))</f>
        <v>0</v>
      </c>
      <c r="R554" t="str">
        <f>IF(Q554=1,COUNTIF($Q$2:$Q554,1),"")</f>
        <v/>
      </c>
      <c r="S554" t="str">
        <f>IFERROR(INDEX(ClientInfo[Full Name], MATCH(ROWS($R$2:$R554),ClientInfo[frequency], 0)),"")</f>
        <v/>
      </c>
    </row>
    <row r="555" spans="1:19">
      <c r="A555" t="str">
        <f>TRIM(CONCATENATE(ClientInfo[[#This Row],[First Name]], " ",ClientInfo[[#This Row],[Last Name]]))</f>
        <v>Jon Lefko</v>
      </c>
      <c r="B555" t="s">
        <v>2592</v>
      </c>
      <c r="C555" t="s">
        <v>2593</v>
      </c>
      <c r="D555" t="s">
        <v>2594</v>
      </c>
      <c r="F555" s="52" t="s">
        <v>2595</v>
      </c>
      <c r="P555" t="s">
        <v>2596</v>
      </c>
      <c r="Q555">
        <f>--ISNUMBER(SEARCH('RC Checklist'!$G$2,A555))</f>
        <v>0</v>
      </c>
      <c r="R555" t="str">
        <f>IF(Q555=1,COUNTIF($Q$2:$Q555,1),"")</f>
        <v/>
      </c>
      <c r="S555" t="str">
        <f>IFERROR(INDEX(ClientInfo[Full Name], MATCH(ROWS($R$2:$R555),ClientInfo[frequency], 0)),"")</f>
        <v/>
      </c>
    </row>
    <row r="556" spans="1:19">
      <c r="A556" t="str">
        <f>TRIM(CONCATENATE(ClientInfo[[#This Row],[First Name]], " ",ClientInfo[[#This Row],[Last Name]]))</f>
        <v>Jonathan Blanar</v>
      </c>
      <c r="B556" t="s">
        <v>1880</v>
      </c>
      <c r="F556" s="52">
        <v>4439343965</v>
      </c>
      <c r="Q556">
        <f>--ISNUMBER(SEARCH('RC Checklist'!$G$2,A556))</f>
        <v>0</v>
      </c>
      <c r="R556" t="str">
        <f>IF(Q556=1,COUNTIF($Q$2:$Q556,1),"")</f>
        <v/>
      </c>
      <c r="S556" t="str">
        <f>IFERROR(INDEX(ClientInfo[Full Name], MATCH(ROWS($R$2:$R556),ClientInfo[frequency], 0)),"")</f>
        <v/>
      </c>
    </row>
    <row r="557" spans="1:19">
      <c r="A557" t="str">
        <f>TRIM(CONCATENATE(ClientInfo[[#This Row],[First Name]], " ",ClientInfo[[#This Row],[Last Name]]))</f>
        <v>Jordan Phillips</v>
      </c>
      <c r="B557" t="s">
        <v>1118</v>
      </c>
      <c r="C557" t="s">
        <v>670</v>
      </c>
      <c r="F557" s="52">
        <v>3017753942</v>
      </c>
      <c r="P557" t="s">
        <v>1119</v>
      </c>
      <c r="Q557">
        <f>--ISNUMBER(SEARCH('RC Checklist'!$G$2,A557))</f>
        <v>0</v>
      </c>
      <c r="R557" t="str">
        <f>IF(Q557=1,COUNTIF($Q$2:$Q557,1),"")</f>
        <v/>
      </c>
      <c r="S557" t="str">
        <f>IFERROR(INDEX(ClientInfo[Full Name], MATCH(ROWS($R$2:$R557),ClientInfo[frequency], 0)),"")</f>
        <v/>
      </c>
    </row>
    <row r="558" spans="1:19">
      <c r="A558" t="str">
        <f>TRIM(CONCATENATE(ClientInfo[[#This Row],[First Name]], " ",ClientInfo[[#This Row],[Last Name]]))</f>
        <v>Jose Sanchez</v>
      </c>
      <c r="B558" t="s">
        <v>1102</v>
      </c>
      <c r="C558" t="s">
        <v>1103</v>
      </c>
      <c r="F558" s="52" t="s">
        <v>1104</v>
      </c>
      <c r="G558" s="52" t="s">
        <v>1105</v>
      </c>
      <c r="O558" t="s">
        <v>1106</v>
      </c>
      <c r="Q558">
        <f>--ISNUMBER(SEARCH('RC Checklist'!$G$2,A558))</f>
        <v>0</v>
      </c>
      <c r="R558" t="str">
        <f>IF(Q558=1,COUNTIF($Q$2:$Q558,1),"")</f>
        <v/>
      </c>
      <c r="S558" t="str">
        <f>IFERROR(INDEX(ClientInfo[Full Name], MATCH(ROWS($R$2:$R558),ClientInfo[frequency], 0)),"")</f>
        <v/>
      </c>
    </row>
    <row r="559" spans="1:19">
      <c r="A559" t="str">
        <f>TRIM(CONCATENATE(ClientInfo[[#This Row],[First Name]], " ",ClientInfo[[#This Row],[Last Name]]))</f>
        <v>Joseph Brandli</v>
      </c>
      <c r="B559" t="s">
        <v>171</v>
      </c>
      <c r="C559" t="s">
        <v>172</v>
      </c>
      <c r="D559" t="s">
        <v>173</v>
      </c>
      <c r="E559" t="s">
        <v>174</v>
      </c>
      <c r="F559" s="52">
        <v>4109086753</v>
      </c>
      <c r="G559" s="52">
        <v>4434730620</v>
      </c>
      <c r="H559" t="s">
        <v>175</v>
      </c>
      <c r="O559" t="s">
        <v>2962</v>
      </c>
      <c r="Q559">
        <f>--ISNUMBER(SEARCH('RC Checklist'!$G$2,A559))</f>
        <v>0</v>
      </c>
      <c r="R559" t="str">
        <f>IF(Q559=1,COUNTIF($Q$2:$Q559,1),"")</f>
        <v/>
      </c>
      <c r="S559" t="str">
        <f>IFERROR(INDEX(ClientInfo[Full Name], MATCH(ROWS($R$2:$R559),ClientInfo[frequency], 0)),"")</f>
        <v/>
      </c>
    </row>
    <row r="560" spans="1:19">
      <c r="A560" t="str">
        <f>TRIM(CONCATENATE(ClientInfo[[#This Row],[First Name]], " ",ClientInfo[[#This Row],[Last Name]]))</f>
        <v>Josh</v>
      </c>
      <c r="B560" t="s">
        <v>597</v>
      </c>
      <c r="D560" t="s">
        <v>2786</v>
      </c>
      <c r="F560" s="52">
        <v>4105619444</v>
      </c>
      <c r="Q560">
        <f>--ISNUMBER(SEARCH('RC Checklist'!$G$2,A560))</f>
        <v>0</v>
      </c>
      <c r="R560" t="str">
        <f>IF(Q560=1,COUNTIF($Q$2:$Q560,1),"")</f>
        <v/>
      </c>
      <c r="S560" t="str">
        <f>IFERROR(INDEX(ClientInfo[Full Name], MATCH(ROWS($R$2:$R560),ClientInfo[frequency], 0)),"")</f>
        <v/>
      </c>
    </row>
    <row r="561" spans="1:19">
      <c r="A561" t="str">
        <f>TRIM(CONCATENATE(ClientInfo[[#This Row],[First Name]], " ",ClientInfo[[#This Row],[Last Name]]))</f>
        <v>Josh</v>
      </c>
      <c r="B561" t="s">
        <v>597</v>
      </c>
      <c r="D561" t="s">
        <v>2009</v>
      </c>
      <c r="Q561">
        <f>--ISNUMBER(SEARCH('RC Checklist'!$G$2,A561))</f>
        <v>0</v>
      </c>
      <c r="R561" t="str">
        <f>IF(Q561=1,COUNTIF($Q$2:$Q561,1),"")</f>
        <v/>
      </c>
      <c r="S561" t="str">
        <f>IFERROR(INDEX(ClientInfo[Full Name], MATCH(ROWS($R$2:$R561),ClientInfo[frequency], 0)),"")</f>
        <v/>
      </c>
    </row>
    <row r="562" spans="1:19">
      <c r="A562" t="str">
        <f>TRIM(CONCATENATE(ClientInfo[[#This Row],[First Name]], " ",ClientInfo[[#This Row],[Last Name]]))</f>
        <v>Josh Hockstra</v>
      </c>
      <c r="B562" t="s">
        <v>597</v>
      </c>
      <c r="C562" t="s">
        <v>598</v>
      </c>
      <c r="D562" t="s">
        <v>599</v>
      </c>
      <c r="F562" s="52" t="s">
        <v>600</v>
      </c>
      <c r="Q562">
        <f>--ISNUMBER(SEARCH('RC Checklist'!$G$2,A562))</f>
        <v>0</v>
      </c>
      <c r="R562" t="str">
        <f>IF(Q562=1,COUNTIF($Q$2:$Q562,1),"")</f>
        <v/>
      </c>
      <c r="S562" t="str">
        <f>IFERROR(INDEX(ClientInfo[Full Name], MATCH(ROWS($R$2:$R562),ClientInfo[frequency], 0)),"")</f>
        <v/>
      </c>
    </row>
    <row r="563" spans="1:19">
      <c r="A563" t="str">
        <f>TRIM(CONCATENATE(ClientInfo[[#This Row],[First Name]], " ",ClientInfo[[#This Row],[Last Name]]))</f>
        <v>Josh Nationwide</v>
      </c>
      <c r="B563" t="s">
        <v>1758</v>
      </c>
      <c r="D563" t="s">
        <v>1759</v>
      </c>
      <c r="H563" t="s">
        <v>1760</v>
      </c>
      <c r="Q563">
        <f>--ISNUMBER(SEARCH('RC Checklist'!$G$2,A563))</f>
        <v>0</v>
      </c>
      <c r="R563" t="str">
        <f>IF(Q563=1,COUNTIF($Q$2:$Q563,1),"")</f>
        <v/>
      </c>
      <c r="S563" t="str">
        <f>IFERROR(INDEX(ClientInfo[Full Name], MATCH(ROWS($R$2:$R563),ClientInfo[frequency], 0)),"")</f>
        <v/>
      </c>
    </row>
    <row r="564" spans="1:19">
      <c r="A564" t="str">
        <f>TRIM(CONCATENATE(ClientInfo[[#This Row],[First Name]], " ",ClientInfo[[#This Row],[Last Name]]))</f>
        <v>Jps marble</v>
      </c>
      <c r="B564" t="s">
        <v>350</v>
      </c>
      <c r="C564" t="s">
        <v>351</v>
      </c>
      <c r="F564" s="52">
        <v>4104209722</v>
      </c>
      <c r="Q564">
        <f>--ISNUMBER(SEARCH('RC Checklist'!$G$2,A564))</f>
        <v>0</v>
      </c>
      <c r="R564" t="str">
        <f>IF(Q564=1,COUNTIF($Q$2:$Q564,1),"")</f>
        <v/>
      </c>
      <c r="S564" t="str">
        <f>IFERROR(INDEX(ClientInfo[Full Name], MATCH(ROWS($R$2:$R564),ClientInfo[frequency], 0)),"")</f>
        <v/>
      </c>
    </row>
    <row r="565" spans="1:19">
      <c r="A565" t="str">
        <f>TRIM(CONCATENATE(ClientInfo[[#This Row],[First Name]], " ",ClientInfo[[#This Row],[Last Name]]))</f>
        <v>JT</v>
      </c>
      <c r="B565" t="s">
        <v>837</v>
      </c>
      <c r="D565" t="s">
        <v>838</v>
      </c>
      <c r="F565" s="52" t="s">
        <v>839</v>
      </c>
      <c r="Q565">
        <f>--ISNUMBER(SEARCH('RC Checklist'!$G$2,A565))</f>
        <v>0</v>
      </c>
      <c r="R565" t="str">
        <f>IF(Q565=1,COUNTIF($Q$2:$Q565,1),"")</f>
        <v/>
      </c>
      <c r="S565" t="str">
        <f>IFERROR(INDEX(ClientInfo[Full Name], MATCH(ROWS($R$2:$R565),ClientInfo[frequency], 0)),"")</f>
        <v/>
      </c>
    </row>
    <row r="566" spans="1:19">
      <c r="A566" t="str">
        <f>TRIM(CONCATENATE(ClientInfo[[#This Row],[First Name]], " ",ClientInfo[[#This Row],[Last Name]]))</f>
        <v>Judd Fire</v>
      </c>
      <c r="B566" t="s">
        <v>1283</v>
      </c>
      <c r="D566" t="s">
        <v>1283</v>
      </c>
      <c r="F566" s="52">
        <v>4108713480</v>
      </c>
      <c r="H566" t="s">
        <v>1284</v>
      </c>
      <c r="Q566">
        <f>--ISNUMBER(SEARCH('RC Checklist'!$G$2,A566))</f>
        <v>0</v>
      </c>
      <c r="R566" t="str">
        <f>IF(Q566=1,COUNTIF($Q$2:$Q566,1),"")</f>
        <v/>
      </c>
      <c r="S566" t="str">
        <f>IFERROR(INDEX(ClientInfo[Full Name], MATCH(ROWS($R$2:$R566),ClientInfo[frequency], 0)),"")</f>
        <v/>
      </c>
    </row>
    <row r="567" spans="1:19">
      <c r="A567" t="str">
        <f>TRIM(CONCATENATE(ClientInfo[[#This Row],[First Name]], " ",ClientInfo[[#This Row],[Last Name]]))</f>
        <v>Judy</v>
      </c>
      <c r="B567" t="s">
        <v>566</v>
      </c>
      <c r="F567" s="52">
        <v>4104562899</v>
      </c>
      <c r="Q567">
        <f>--ISNUMBER(SEARCH('RC Checklist'!$G$2,A567))</f>
        <v>0</v>
      </c>
      <c r="R567" t="str">
        <f>IF(Q567=1,COUNTIF($Q$2:$Q567,1),"")</f>
        <v/>
      </c>
      <c r="S567" t="str">
        <f>IFERROR(INDEX(ClientInfo[Full Name], MATCH(ROWS($R$2:$R567),ClientInfo[frequency], 0)),"")</f>
        <v/>
      </c>
    </row>
    <row r="568" spans="1:19">
      <c r="A568" t="str">
        <f>TRIM(CONCATENATE(ClientInfo[[#This Row],[First Name]], " ",ClientInfo[[#This Row],[Last Name]]))</f>
        <v>Judy Davanzo</v>
      </c>
      <c r="B568" t="s">
        <v>566</v>
      </c>
      <c r="C568" t="s">
        <v>2516</v>
      </c>
      <c r="Q568">
        <f>--ISNUMBER(SEARCH('RC Checklist'!$G$2,A568))</f>
        <v>0</v>
      </c>
      <c r="R568" t="str">
        <f>IF(Q568=1,COUNTIF($Q$2:$Q568,1),"")</f>
        <v/>
      </c>
      <c r="S568" t="str">
        <f>IFERROR(INDEX(ClientInfo[Full Name], MATCH(ROWS($R$2:$R568),ClientInfo[frequency], 0)),"")</f>
        <v/>
      </c>
    </row>
    <row r="569" spans="1:19">
      <c r="A569" t="str">
        <f>TRIM(CONCATENATE(ClientInfo[[#This Row],[First Name]], " ",ClientInfo[[#This Row],[Last Name]]))</f>
        <v>Judy Schank</v>
      </c>
      <c r="B569" t="s">
        <v>566</v>
      </c>
      <c r="C569" t="s">
        <v>1699</v>
      </c>
      <c r="F569" s="52">
        <v>4433864077</v>
      </c>
      <c r="Q569">
        <f>--ISNUMBER(SEARCH('RC Checklist'!$G$2,A569))</f>
        <v>0</v>
      </c>
      <c r="R569" t="str">
        <f>IF(Q569=1,COUNTIF($Q$2:$Q569,1),"")</f>
        <v/>
      </c>
      <c r="S569" t="str">
        <f>IFERROR(INDEX(ClientInfo[Full Name], MATCH(ROWS($R$2:$R569),ClientInfo[frequency], 0)),"")</f>
        <v/>
      </c>
    </row>
    <row r="570" spans="1:19">
      <c r="A570" t="str">
        <f>TRIM(CONCATENATE(ClientInfo[[#This Row],[First Name]], " ",ClientInfo[[#This Row],[Last Name]]))</f>
        <v>Juli</v>
      </c>
      <c r="B570" t="s">
        <v>2745</v>
      </c>
      <c r="D570" t="s">
        <v>2746</v>
      </c>
      <c r="F570" s="52" t="s">
        <v>2747</v>
      </c>
      <c r="Q570">
        <f>--ISNUMBER(SEARCH('RC Checklist'!$G$2,A570))</f>
        <v>0</v>
      </c>
      <c r="R570" t="str">
        <f>IF(Q570=1,COUNTIF($Q$2:$Q570,1),"")</f>
        <v/>
      </c>
      <c r="S570" t="str">
        <f>IFERROR(INDEX(ClientInfo[Full Name], MATCH(ROWS($R$2:$R570),ClientInfo[frequency], 0)),"")</f>
        <v/>
      </c>
    </row>
    <row r="571" spans="1:19">
      <c r="A571" t="str">
        <f>TRIM(CONCATENATE(ClientInfo[[#This Row],[First Name]], " ",ClientInfo[[#This Row],[Last Name]]))</f>
        <v>Julie King</v>
      </c>
      <c r="B571" t="s">
        <v>533</v>
      </c>
      <c r="C571" t="s">
        <v>534</v>
      </c>
      <c r="H571" t="s">
        <v>535</v>
      </c>
      <c r="Q571">
        <f>--ISNUMBER(SEARCH('RC Checklist'!$G$2,A571))</f>
        <v>0</v>
      </c>
      <c r="R571" t="str">
        <f>IF(Q571=1,COUNTIF($Q$2:$Q571,1),"")</f>
        <v/>
      </c>
      <c r="S571" t="str">
        <f>IFERROR(INDEX(ClientInfo[Full Name], MATCH(ROWS($R$2:$R571),ClientInfo[frequency], 0)),"")</f>
        <v/>
      </c>
    </row>
    <row r="572" spans="1:19">
      <c r="A572" t="str">
        <f>TRIM(CONCATENATE(ClientInfo[[#This Row],[First Name]], " ",ClientInfo[[#This Row],[Last Name]]))</f>
        <v>Julio</v>
      </c>
      <c r="B572" t="s">
        <v>1362</v>
      </c>
      <c r="F572" s="52">
        <v>18056570726</v>
      </c>
      <c r="Q572">
        <f>--ISNUMBER(SEARCH('RC Checklist'!$G$2,A572))</f>
        <v>0</v>
      </c>
      <c r="R572" t="str">
        <f>IF(Q572=1,COUNTIF($Q$2:$Q572,1),"")</f>
        <v/>
      </c>
      <c r="S572" t="str">
        <f>IFERROR(INDEX(ClientInfo[Full Name], MATCH(ROWS($R$2:$R572),ClientInfo[frequency], 0)),"")</f>
        <v/>
      </c>
    </row>
    <row r="573" spans="1:19">
      <c r="A573" t="str">
        <f>TRIM(CONCATENATE(ClientInfo[[#This Row],[First Name]], " ",ClientInfo[[#This Row],[Last Name]]))</f>
        <v>Justin</v>
      </c>
      <c r="B573" t="s">
        <v>2557</v>
      </c>
      <c r="D573" t="s">
        <v>2558</v>
      </c>
      <c r="Q573">
        <f>--ISNUMBER(SEARCH('RC Checklist'!$G$2,A573))</f>
        <v>0</v>
      </c>
      <c r="R573" t="str">
        <f>IF(Q573=1,COUNTIF($Q$2:$Q573,1),"")</f>
        <v/>
      </c>
      <c r="S573" t="str">
        <f>IFERROR(INDEX(ClientInfo[Full Name], MATCH(ROWS($R$2:$R573),ClientInfo[frequency], 0)),"")</f>
        <v/>
      </c>
    </row>
    <row r="574" spans="1:19">
      <c r="A574" t="str">
        <f>TRIM(CONCATENATE(ClientInfo[[#This Row],[First Name]], " ",ClientInfo[[#This Row],[Last Name]]))</f>
        <v>Jyd</v>
      </c>
      <c r="B574" t="s">
        <v>2715</v>
      </c>
      <c r="F574" s="52">
        <v>4438656844</v>
      </c>
      <c r="Q574">
        <f>--ISNUMBER(SEARCH('RC Checklist'!$G$2,A574))</f>
        <v>0</v>
      </c>
      <c r="R574" t="str">
        <f>IF(Q574=1,COUNTIF($Q$2:$Q574,1),"")</f>
        <v/>
      </c>
      <c r="S574" t="str">
        <f>IFERROR(INDEX(ClientInfo[Full Name], MATCH(ROWS($R$2:$R574),ClientInfo[frequency], 0)),"")</f>
        <v/>
      </c>
    </row>
    <row r="575" spans="1:19">
      <c r="A575" t="str">
        <f>TRIM(CONCATENATE(ClientInfo[[#This Row],[First Name]], " ",ClientInfo[[#This Row],[Last Name]]))</f>
        <v>Kaery Johnson</v>
      </c>
      <c r="B575" t="s">
        <v>655</v>
      </c>
      <c r="C575" t="s">
        <v>656</v>
      </c>
      <c r="F575" s="52">
        <v>4439345072</v>
      </c>
      <c r="G575" s="52">
        <v>7172441102</v>
      </c>
      <c r="P575" t="s">
        <v>657</v>
      </c>
      <c r="Q575">
        <f>--ISNUMBER(SEARCH('RC Checklist'!$G$2,A575))</f>
        <v>0</v>
      </c>
      <c r="R575" t="str">
        <f>IF(Q575=1,COUNTIF($Q$2:$Q575,1),"")</f>
        <v/>
      </c>
      <c r="S575" t="str">
        <f>IFERROR(INDEX(ClientInfo[Full Name], MATCH(ROWS($R$2:$R575),ClientInfo[frequency], 0)),"")</f>
        <v/>
      </c>
    </row>
    <row r="576" spans="1:19">
      <c r="A576" t="str">
        <f>TRIM(CONCATENATE(ClientInfo[[#This Row],[First Name]], " ",ClientInfo[[#This Row],[Last Name]]))</f>
        <v>Kamy</v>
      </c>
      <c r="B576" t="s">
        <v>423</v>
      </c>
      <c r="F576" s="52" t="s">
        <v>424</v>
      </c>
      <c r="G576" s="52" t="s">
        <v>425</v>
      </c>
      <c r="Q576">
        <f>--ISNUMBER(SEARCH('RC Checklist'!$G$2,A576))</f>
        <v>0</v>
      </c>
      <c r="R576" t="str">
        <f>IF(Q576=1,COUNTIF($Q$2:$Q576,1),"")</f>
        <v/>
      </c>
      <c r="S576" t="str">
        <f>IFERROR(INDEX(ClientInfo[Full Name], MATCH(ROWS($R$2:$R576),ClientInfo[frequency], 0)),"")</f>
        <v/>
      </c>
    </row>
    <row r="577" spans="1:19">
      <c r="A577" t="str">
        <f>TRIM(CONCATENATE(ClientInfo[[#This Row],[First Name]], " ",ClientInfo[[#This Row],[Last Name]]))</f>
        <v>Kara Cooke</v>
      </c>
      <c r="B577" t="s">
        <v>1774</v>
      </c>
      <c r="C577" t="s">
        <v>1775</v>
      </c>
      <c r="D577" t="s">
        <v>1776</v>
      </c>
      <c r="F577" s="52">
        <v>4435197784</v>
      </c>
      <c r="G577" s="52">
        <v>4105612400</v>
      </c>
      <c r="Q577">
        <f>--ISNUMBER(SEARCH('RC Checklist'!$G$2,A577))</f>
        <v>0</v>
      </c>
      <c r="R577" t="str">
        <f>IF(Q577=1,COUNTIF($Q$2:$Q577,1),"")</f>
        <v/>
      </c>
      <c r="S577" t="str">
        <f>IFERROR(INDEX(ClientInfo[Full Name], MATCH(ROWS($R$2:$R577),ClientInfo[frequency], 0)),"")</f>
        <v/>
      </c>
    </row>
    <row r="578" spans="1:19">
      <c r="A578" t="str">
        <f>TRIM(CONCATENATE(ClientInfo[[#This Row],[First Name]], " ",ClientInfo[[#This Row],[Last Name]]))</f>
        <v>Karen Brooks</v>
      </c>
      <c r="B578" t="s">
        <v>466</v>
      </c>
      <c r="C578" t="s">
        <v>1473</v>
      </c>
      <c r="D578" t="s">
        <v>1474</v>
      </c>
      <c r="F578" s="52" t="s">
        <v>1475</v>
      </c>
      <c r="Q578">
        <f>--ISNUMBER(SEARCH('RC Checklist'!$G$2,A578))</f>
        <v>0</v>
      </c>
      <c r="R578" t="str">
        <f>IF(Q578=1,COUNTIF($Q$2:$Q578,1),"")</f>
        <v/>
      </c>
      <c r="S578" t="str">
        <f>IFERROR(INDEX(ClientInfo[Full Name], MATCH(ROWS($R$2:$R578),ClientInfo[frequency], 0)),"")</f>
        <v/>
      </c>
    </row>
    <row r="579" spans="1:19">
      <c r="A579" t="str">
        <f>TRIM(CONCATENATE(ClientInfo[[#This Row],[First Name]], " ",ClientInfo[[#This Row],[Last Name]]))</f>
        <v>Karen Haviland</v>
      </c>
      <c r="B579" t="s">
        <v>466</v>
      </c>
      <c r="C579" t="s">
        <v>467</v>
      </c>
      <c r="F579" s="52" t="s">
        <v>468</v>
      </c>
      <c r="G579" s="52" t="s">
        <v>469</v>
      </c>
      <c r="O579" t="s">
        <v>470</v>
      </c>
      <c r="P579" t="s">
        <v>471</v>
      </c>
      <c r="Q579">
        <f>--ISNUMBER(SEARCH('RC Checklist'!$G$2,A579))</f>
        <v>0</v>
      </c>
      <c r="R579" t="str">
        <f>IF(Q579=1,COUNTIF($Q$2:$Q579,1),"")</f>
        <v/>
      </c>
      <c r="S579" t="str">
        <f>IFERROR(INDEX(ClientInfo[Full Name], MATCH(ROWS($R$2:$R579),ClientInfo[frequency], 0)),"")</f>
        <v/>
      </c>
    </row>
    <row r="580" spans="1:19">
      <c r="A580" t="str">
        <f>TRIM(CONCATENATE(ClientInfo[[#This Row],[First Name]], " ",ClientInfo[[#This Row],[Last Name]]))</f>
        <v>Karen Kalbaugh</v>
      </c>
      <c r="B580" t="s">
        <v>466</v>
      </c>
      <c r="C580" t="s">
        <v>2196</v>
      </c>
      <c r="F580" s="52">
        <v>13133307441</v>
      </c>
      <c r="H580" t="s">
        <v>2197</v>
      </c>
      <c r="Q580">
        <f>--ISNUMBER(SEARCH('RC Checklist'!$G$2,A580))</f>
        <v>0</v>
      </c>
      <c r="R580" t="str">
        <f>IF(Q580=1,COUNTIF($Q$2:$Q580,1),"")</f>
        <v/>
      </c>
      <c r="S580" t="str">
        <f>IFERROR(INDEX(ClientInfo[Full Name], MATCH(ROWS($R$2:$R580),ClientInfo[frequency], 0)),"")</f>
        <v/>
      </c>
    </row>
    <row r="581" spans="1:19">
      <c r="A581" t="str">
        <f>TRIM(CONCATENATE(ClientInfo[[#This Row],[First Name]], " ",ClientInfo[[#This Row],[Last Name]]))</f>
        <v>Karen Marchese</v>
      </c>
      <c r="B581" t="s">
        <v>466</v>
      </c>
      <c r="C581" t="s">
        <v>2573</v>
      </c>
      <c r="D581" t="s">
        <v>2574</v>
      </c>
      <c r="Q581">
        <f>--ISNUMBER(SEARCH('RC Checklist'!$G$2,A581))</f>
        <v>0</v>
      </c>
      <c r="R581" t="str">
        <f>IF(Q581=1,COUNTIF($Q$2:$Q581,1),"")</f>
        <v/>
      </c>
      <c r="S581" t="str">
        <f>IFERROR(INDEX(ClientInfo[Full Name], MATCH(ROWS($R$2:$R581),ClientInfo[frequency], 0)),"")</f>
        <v/>
      </c>
    </row>
    <row r="582" spans="1:19">
      <c r="A582" t="str">
        <f>TRIM(CONCATENATE(ClientInfo[[#This Row],[First Name]], " ",ClientInfo[[#This Row],[Last Name]]))</f>
        <v>Karen Taylor</v>
      </c>
      <c r="B582" t="s">
        <v>466</v>
      </c>
      <c r="C582" t="s">
        <v>1224</v>
      </c>
      <c r="Q582">
        <f>--ISNUMBER(SEARCH('RC Checklist'!$G$2,A582))</f>
        <v>0</v>
      </c>
      <c r="R582" t="str">
        <f>IF(Q582=1,COUNTIF($Q$2:$Q582,1),"")</f>
        <v/>
      </c>
      <c r="S582" t="str">
        <f>IFERROR(INDEX(ClientInfo[Full Name], MATCH(ROWS($R$2:$R582),ClientInfo[frequency], 0)),"")</f>
        <v/>
      </c>
    </row>
    <row r="583" spans="1:19">
      <c r="A583" t="str">
        <f>TRIM(CONCATENATE(ClientInfo[[#This Row],[First Name]], " ",ClientInfo[[#This Row],[Last Name]]))</f>
        <v>Karen Weinreich</v>
      </c>
      <c r="B583" t="s">
        <v>466</v>
      </c>
      <c r="C583" t="s">
        <v>773</v>
      </c>
      <c r="F583" s="52" t="s">
        <v>774</v>
      </c>
      <c r="H583" t="s">
        <v>775</v>
      </c>
      <c r="Q583">
        <f>--ISNUMBER(SEARCH('RC Checklist'!$G$2,A583))</f>
        <v>0</v>
      </c>
      <c r="R583" t="str">
        <f>IF(Q583=1,COUNTIF($Q$2:$Q583,1),"")</f>
        <v/>
      </c>
      <c r="S583" t="str">
        <f>IFERROR(INDEX(ClientInfo[Full Name], MATCH(ROWS($R$2:$R583),ClientInfo[frequency], 0)),"")</f>
        <v/>
      </c>
    </row>
    <row r="584" spans="1:19">
      <c r="A584" t="str">
        <f>TRIM(CONCATENATE(ClientInfo[[#This Row],[First Name]], " ",ClientInfo[[#This Row],[Last Name]]))</f>
        <v>Karin &amp; Chris Powell</v>
      </c>
      <c r="B584" t="s">
        <v>2300</v>
      </c>
      <c r="C584" t="s">
        <v>2301</v>
      </c>
      <c r="H584" t="s">
        <v>2302</v>
      </c>
      <c r="Q584">
        <f>--ISNUMBER(SEARCH('RC Checklist'!$G$2,A584))</f>
        <v>0</v>
      </c>
      <c r="R584" t="str">
        <f>IF(Q584=1,COUNTIF($Q$2:$Q584,1),"")</f>
        <v/>
      </c>
      <c r="S584" t="str">
        <f>IFERROR(INDEX(ClientInfo[Full Name], MATCH(ROWS($R$2:$R584),ClientInfo[frequency], 0)),"")</f>
        <v/>
      </c>
    </row>
    <row r="585" spans="1:19">
      <c r="A585" t="str">
        <f>TRIM(CONCATENATE(ClientInfo[[#This Row],[First Name]], " ",ClientInfo[[#This Row],[Last Name]]))</f>
        <v>Kary Snow</v>
      </c>
      <c r="B585" t="s">
        <v>2206</v>
      </c>
      <c r="C585" t="s">
        <v>2207</v>
      </c>
      <c r="F585" s="52">
        <v>4102454757</v>
      </c>
      <c r="G585" s="52">
        <v>4109185499</v>
      </c>
      <c r="P585" t="s">
        <v>2208</v>
      </c>
      <c r="Q585">
        <f>--ISNUMBER(SEARCH('RC Checklist'!$G$2,A585))</f>
        <v>0</v>
      </c>
      <c r="R585" t="str">
        <f>IF(Q585=1,COUNTIF($Q$2:$Q585,1),"")</f>
        <v/>
      </c>
      <c r="S585" t="str">
        <f>IFERROR(INDEX(ClientInfo[Full Name], MATCH(ROWS($R$2:$R585),ClientInfo[frequency], 0)),"")</f>
        <v/>
      </c>
    </row>
    <row r="586" spans="1:19">
      <c r="A586" t="str">
        <f>TRIM(CONCATENATE(ClientInfo[[#This Row],[First Name]], " ",ClientInfo[[#This Row],[Last Name]]))</f>
        <v>Kate Wagner</v>
      </c>
      <c r="B586" t="s">
        <v>2265</v>
      </c>
      <c r="C586" t="s">
        <v>2266</v>
      </c>
      <c r="F586" s="52" t="s">
        <v>2268</v>
      </c>
      <c r="G586" s="52" t="s">
        <v>2267</v>
      </c>
      <c r="O586" t="s">
        <v>2269</v>
      </c>
      <c r="Q586">
        <f>--ISNUMBER(SEARCH('RC Checklist'!$G$2,A586))</f>
        <v>0</v>
      </c>
      <c r="R586" t="str">
        <f>IF(Q586=1,COUNTIF($Q$2:$Q586,1),"")</f>
        <v/>
      </c>
      <c r="S586" t="str">
        <f>IFERROR(INDEX(ClientInfo[Full Name], MATCH(ROWS($R$2:$R586),ClientInfo[frequency], 0)),"")</f>
        <v/>
      </c>
    </row>
    <row r="587" spans="1:19">
      <c r="A587" t="str">
        <f>TRIM(CONCATENATE(ClientInfo[[#This Row],[First Name]], " ",ClientInfo[[#This Row],[Last Name]]))</f>
        <v>Kathi Dachille</v>
      </c>
      <c r="B587" t="s">
        <v>1673</v>
      </c>
      <c r="C587" t="s">
        <v>1674</v>
      </c>
      <c r="F587" s="52" t="s">
        <v>1675</v>
      </c>
      <c r="Q587">
        <f>--ISNUMBER(SEARCH('RC Checklist'!$G$2,A587))</f>
        <v>0</v>
      </c>
      <c r="R587" t="str">
        <f>IF(Q587=1,COUNTIF($Q$2:$Q587,1),"")</f>
        <v/>
      </c>
      <c r="S587" t="str">
        <f>IFERROR(INDEX(ClientInfo[Full Name], MATCH(ROWS($R$2:$R587),ClientInfo[frequency], 0)),"")</f>
        <v/>
      </c>
    </row>
    <row r="588" spans="1:19">
      <c r="A588" t="str">
        <f>TRIM(CONCATENATE(ClientInfo[[#This Row],[First Name]], " ",ClientInfo[[#This Row],[Last Name]]))</f>
        <v>Kathleen Warren</v>
      </c>
      <c r="B588" t="s">
        <v>1893</v>
      </c>
      <c r="C588" t="s">
        <v>1894</v>
      </c>
      <c r="F588" s="52">
        <v>14437424319</v>
      </c>
      <c r="H588" t="s">
        <v>1895</v>
      </c>
      <c r="Q588">
        <f>--ISNUMBER(SEARCH('RC Checklist'!$G$2,A588))</f>
        <v>0</v>
      </c>
      <c r="R588" t="str">
        <f>IF(Q588=1,COUNTIF($Q$2:$Q588,1),"")</f>
        <v/>
      </c>
      <c r="S588" t="str">
        <f>IFERROR(INDEX(ClientInfo[Full Name], MATCH(ROWS($R$2:$R588),ClientInfo[frequency], 0)),"")</f>
        <v/>
      </c>
    </row>
    <row r="589" spans="1:19">
      <c r="A589" t="str">
        <f>TRIM(CONCATENATE(ClientInfo[[#This Row],[First Name]], " ",ClientInfo[[#This Row],[Last Name]]))</f>
        <v>Kathy Brugh</v>
      </c>
      <c r="B589" t="s">
        <v>1455</v>
      </c>
      <c r="C589" t="s">
        <v>1456</v>
      </c>
      <c r="F589" s="52" t="s">
        <v>1457</v>
      </c>
      <c r="Q589">
        <f>--ISNUMBER(SEARCH('RC Checklist'!$G$2,A589))</f>
        <v>0</v>
      </c>
      <c r="R589" t="str">
        <f>IF(Q589=1,COUNTIF($Q$2:$Q589,1),"")</f>
        <v/>
      </c>
      <c r="S589" t="str">
        <f>IFERROR(INDEX(ClientInfo[Full Name], MATCH(ROWS($R$2:$R589),ClientInfo[frequency], 0)),"")</f>
        <v/>
      </c>
    </row>
    <row r="590" spans="1:19">
      <c r="A590" t="str">
        <f>TRIM(CONCATENATE(ClientInfo[[#This Row],[First Name]], " ",ClientInfo[[#This Row],[Last Name]]))</f>
        <v>Kathy Lee Miller</v>
      </c>
      <c r="B590" t="s">
        <v>2086</v>
      </c>
      <c r="C590" t="s">
        <v>1426</v>
      </c>
      <c r="F590" s="52">
        <v>4438349984</v>
      </c>
      <c r="P590" t="s">
        <v>2087</v>
      </c>
      <c r="Q590">
        <f>--ISNUMBER(SEARCH('RC Checklist'!$G$2,A590))</f>
        <v>0</v>
      </c>
      <c r="R590" t="str">
        <f>IF(Q590=1,COUNTIF($Q$2:$Q590,1),"")</f>
        <v/>
      </c>
      <c r="S590" t="str">
        <f>IFERROR(INDEX(ClientInfo[Full Name], MATCH(ROWS($R$2:$R590),ClientInfo[frequency], 0)),"")</f>
        <v/>
      </c>
    </row>
    <row r="591" spans="1:19">
      <c r="A591" t="str">
        <f>TRIM(CONCATENATE(ClientInfo[[#This Row],[First Name]], " ",ClientInfo[[#This Row],[Last Name]]))</f>
        <v>Kathy Rink</v>
      </c>
      <c r="B591" t="s">
        <v>1455</v>
      </c>
      <c r="C591" t="s">
        <v>2637</v>
      </c>
      <c r="F591" s="52" t="s">
        <v>2638</v>
      </c>
      <c r="Q591">
        <f>--ISNUMBER(SEARCH('RC Checklist'!$G$2,A591))</f>
        <v>0</v>
      </c>
      <c r="R591" t="str">
        <f>IF(Q591=1,COUNTIF($Q$2:$Q591,1),"")</f>
        <v/>
      </c>
      <c r="S591" t="str">
        <f>IFERROR(INDEX(ClientInfo[Full Name], MATCH(ROWS($R$2:$R591),ClientInfo[frequency], 0)),"")</f>
        <v/>
      </c>
    </row>
    <row r="592" spans="1:19">
      <c r="A592" t="str">
        <f>TRIM(CONCATENATE(ClientInfo[[#This Row],[First Name]], " ",ClientInfo[[#This Row],[Last Name]]))</f>
        <v>Kathy Wilmot</v>
      </c>
      <c r="B592" t="s">
        <v>1455</v>
      </c>
      <c r="C592" t="s">
        <v>2515</v>
      </c>
      <c r="F592" s="52">
        <v>14103657370</v>
      </c>
      <c r="Q592">
        <f>--ISNUMBER(SEARCH('RC Checklist'!$G$2,A592))</f>
        <v>0</v>
      </c>
      <c r="R592" t="str">
        <f>IF(Q592=1,COUNTIF($Q$2:$Q592,1),"")</f>
        <v/>
      </c>
      <c r="S592" t="str">
        <f>IFERROR(INDEX(ClientInfo[Full Name], MATCH(ROWS($R$2:$R592),ClientInfo[frequency], 0)),"")</f>
        <v/>
      </c>
    </row>
    <row r="593" spans="1:19">
      <c r="A593" t="str">
        <f>TRIM(CONCATENATE(ClientInfo[[#This Row],[First Name]], " ",ClientInfo[[#This Row],[Last Name]]))</f>
        <v>Katie Cook</v>
      </c>
      <c r="B593" t="s">
        <v>799</v>
      </c>
      <c r="C593" t="s">
        <v>800</v>
      </c>
      <c r="F593" s="52" t="s">
        <v>801</v>
      </c>
      <c r="Q593">
        <f>--ISNUMBER(SEARCH('RC Checklist'!$G$2,A593))</f>
        <v>0</v>
      </c>
      <c r="R593" t="str">
        <f>IF(Q593=1,COUNTIF($Q$2:$Q593,1),"")</f>
        <v/>
      </c>
      <c r="S593" t="str">
        <f>IFERROR(INDEX(ClientInfo[Full Name], MATCH(ROWS($R$2:$R593),ClientInfo[frequency], 0)),"")</f>
        <v/>
      </c>
    </row>
    <row r="594" spans="1:19">
      <c r="A594" t="str">
        <f>TRIM(CONCATENATE(ClientInfo[[#This Row],[First Name]], " ",ClientInfo[[#This Row],[Last Name]]))</f>
        <v>Keene Dodge</v>
      </c>
      <c r="B594" t="s">
        <v>2361</v>
      </c>
      <c r="D594" t="s">
        <v>2361</v>
      </c>
      <c r="F594" s="52" t="s">
        <v>2362</v>
      </c>
      <c r="P594" t="s">
        <v>2363</v>
      </c>
      <c r="Q594">
        <f>--ISNUMBER(SEARCH('RC Checklist'!$G$2,A594))</f>
        <v>0</v>
      </c>
      <c r="R594" t="str">
        <f>IF(Q594=1,COUNTIF($Q$2:$Q594,1),"")</f>
        <v/>
      </c>
      <c r="S594" t="str">
        <f>IFERROR(INDEX(ClientInfo[Full Name], MATCH(ROWS($R$2:$R594),ClientInfo[frequency], 0)),"")</f>
        <v/>
      </c>
    </row>
    <row r="595" spans="1:19">
      <c r="A595" t="str">
        <f>TRIM(CONCATENATE(ClientInfo[[#This Row],[First Name]], " ",ClientInfo[[#This Row],[Last Name]]))</f>
        <v>Keesha</v>
      </c>
      <c r="B595" t="s">
        <v>426</v>
      </c>
      <c r="D595" t="s">
        <v>427</v>
      </c>
      <c r="F595" s="52" t="s">
        <v>428</v>
      </c>
      <c r="Q595">
        <f>--ISNUMBER(SEARCH('RC Checklist'!$G$2,A595))</f>
        <v>0</v>
      </c>
      <c r="R595" t="str">
        <f>IF(Q595=1,COUNTIF($Q$2:$Q595,1),"")</f>
        <v/>
      </c>
      <c r="S595" t="str">
        <f>IFERROR(INDEX(ClientInfo[Full Name], MATCH(ROWS($R$2:$R595),ClientInfo[frequency], 0)),"")</f>
        <v/>
      </c>
    </row>
    <row r="596" spans="1:19">
      <c r="A596" t="str">
        <f>TRIM(CONCATENATE(ClientInfo[[#This Row],[First Name]], " ",ClientInfo[[#This Row],[Last Name]]))</f>
        <v>Keith</v>
      </c>
      <c r="B596" t="s">
        <v>815</v>
      </c>
      <c r="F596" s="52">
        <v>9196023588</v>
      </c>
      <c r="Q596">
        <f>--ISNUMBER(SEARCH('RC Checklist'!$G$2,A596))</f>
        <v>0</v>
      </c>
      <c r="R596" t="str">
        <f>IF(Q596=1,COUNTIF($Q$2:$Q596,1),"")</f>
        <v/>
      </c>
      <c r="S596" t="str">
        <f>IFERROR(INDEX(ClientInfo[Full Name], MATCH(ROWS($R$2:$R596),ClientInfo[frequency], 0)),"")</f>
        <v/>
      </c>
    </row>
    <row r="597" spans="1:19">
      <c r="A597" t="str">
        <f>TRIM(CONCATENATE(ClientInfo[[#This Row],[First Name]], " ",ClientInfo[[#This Row],[Last Name]]))</f>
        <v>Keith Van Eron</v>
      </c>
      <c r="B597" t="s">
        <v>815</v>
      </c>
      <c r="C597" t="s">
        <v>1289</v>
      </c>
      <c r="F597" s="52" t="s">
        <v>1290</v>
      </c>
      <c r="Q597">
        <f>--ISNUMBER(SEARCH('RC Checklist'!$G$2,A597))</f>
        <v>0</v>
      </c>
      <c r="R597" t="str">
        <f>IF(Q597=1,COUNTIF($Q$2:$Q597,1),"")</f>
        <v/>
      </c>
      <c r="S597" t="str">
        <f>IFERROR(INDEX(ClientInfo[Full Name], MATCH(ROWS($R$2:$R597),ClientInfo[frequency], 0)),"")</f>
        <v/>
      </c>
    </row>
    <row r="598" spans="1:19">
      <c r="A598" t="str">
        <f>TRIM(CONCATENATE(ClientInfo[[#This Row],[First Name]], " ",ClientInfo[[#This Row],[Last Name]]))</f>
        <v>Keitly Ehrhart Maa Recon</v>
      </c>
      <c r="B598" t="s">
        <v>2096</v>
      </c>
      <c r="C598" t="s">
        <v>881</v>
      </c>
      <c r="F598" s="52">
        <v>7172787925</v>
      </c>
      <c r="H598" t="s">
        <v>2097</v>
      </c>
      <c r="Q598">
        <f>--ISNUMBER(SEARCH('RC Checklist'!$G$2,A598))</f>
        <v>0</v>
      </c>
      <c r="R598" t="str">
        <f>IF(Q598=1,COUNTIF($Q$2:$Q598,1),"")</f>
        <v/>
      </c>
      <c r="S598" t="str">
        <f>IFERROR(INDEX(ClientInfo[Full Name], MATCH(ROWS($R$2:$R598),ClientInfo[frequency], 0)),"")</f>
        <v/>
      </c>
    </row>
    <row r="599" spans="1:19">
      <c r="A599" t="str">
        <f>TRIM(CONCATENATE(ClientInfo[[#This Row],[First Name]], " ",ClientInfo[[#This Row],[Last Name]]))</f>
        <v>Kele</v>
      </c>
      <c r="B599" t="s">
        <v>1554</v>
      </c>
      <c r="F599" s="52">
        <v>7038644192</v>
      </c>
      <c r="Q599">
        <f>--ISNUMBER(SEARCH('RC Checklist'!$G$2,A599))</f>
        <v>0</v>
      </c>
      <c r="R599" t="str">
        <f>IF(Q599=1,COUNTIF($Q$2:$Q599,1),"")</f>
        <v/>
      </c>
      <c r="S599" t="str">
        <f>IFERROR(INDEX(ClientInfo[Full Name], MATCH(ROWS($R$2:$R599),ClientInfo[frequency], 0)),"")</f>
        <v/>
      </c>
    </row>
    <row r="600" spans="1:19">
      <c r="A600" t="str">
        <f>TRIM(CONCATENATE(ClientInfo[[#This Row],[First Name]], " ",ClientInfo[[#This Row],[Last Name]]))</f>
        <v>Kelli Graefe</v>
      </c>
      <c r="B600" t="s">
        <v>2374</v>
      </c>
      <c r="C600" t="s">
        <v>2375</v>
      </c>
      <c r="F600" s="52">
        <v>14103757837</v>
      </c>
      <c r="Q600">
        <f>--ISNUMBER(SEARCH('RC Checklist'!$G$2,A600))</f>
        <v>0</v>
      </c>
      <c r="R600" t="str">
        <f>IF(Q600=1,COUNTIF($Q$2:$Q600,1),"")</f>
        <v/>
      </c>
      <c r="S600" t="str">
        <f>IFERROR(INDEX(ClientInfo[Full Name], MATCH(ROWS($R$2:$R600),ClientInfo[frequency], 0)),"")</f>
        <v/>
      </c>
    </row>
    <row r="601" spans="1:19">
      <c r="A601" t="str">
        <f>TRIM(CONCATENATE(ClientInfo[[#This Row],[First Name]], " ",ClientInfo[[#This Row],[Last Name]]))</f>
        <v>Kelly</v>
      </c>
      <c r="B601" t="s">
        <v>287</v>
      </c>
      <c r="F601" s="52">
        <v>4105605737</v>
      </c>
      <c r="Q601">
        <f>--ISNUMBER(SEARCH('RC Checklist'!$G$2,A601))</f>
        <v>0</v>
      </c>
      <c r="R601" t="str">
        <f>IF(Q601=1,COUNTIF($Q$2:$Q601,1),"")</f>
        <v/>
      </c>
      <c r="S601" t="str">
        <f>IFERROR(INDEX(ClientInfo[Full Name], MATCH(ROWS($R$2:$R601),ClientInfo[frequency], 0)),"")</f>
        <v/>
      </c>
    </row>
    <row r="602" spans="1:19">
      <c r="A602" t="str">
        <f>TRIM(CONCATENATE(ClientInfo[[#This Row],[First Name]], " ",ClientInfo[[#This Row],[Last Name]]))</f>
        <v>Kelly puig</v>
      </c>
      <c r="B602" t="s">
        <v>287</v>
      </c>
      <c r="C602" t="s">
        <v>1787</v>
      </c>
      <c r="F602" s="52">
        <v>4108380902</v>
      </c>
      <c r="Q602">
        <f>--ISNUMBER(SEARCH('RC Checklist'!$G$2,A602))</f>
        <v>0</v>
      </c>
      <c r="R602" t="str">
        <f>IF(Q602=1,COUNTIF($Q$2:$Q602,1),"")</f>
        <v/>
      </c>
      <c r="S602" t="str">
        <f>IFERROR(INDEX(ClientInfo[Full Name], MATCH(ROWS($R$2:$R602),ClientInfo[frequency], 0)),"")</f>
        <v/>
      </c>
    </row>
    <row r="603" spans="1:19">
      <c r="A603" t="str">
        <f>TRIM(CONCATENATE(ClientInfo[[#This Row],[First Name]], " ",ClientInfo[[#This Row],[Last Name]]))</f>
        <v>Ken</v>
      </c>
      <c r="B603" t="s">
        <v>102</v>
      </c>
      <c r="D603" t="s">
        <v>1281</v>
      </c>
      <c r="F603" s="52">
        <v>7722152931</v>
      </c>
      <c r="Q603">
        <f>--ISNUMBER(SEARCH('RC Checklist'!$G$2,A603))</f>
        <v>0</v>
      </c>
      <c r="R603" t="str">
        <f>IF(Q603=1,COUNTIF($Q$2:$Q603,1),"")</f>
        <v/>
      </c>
      <c r="S603" t="str">
        <f>IFERROR(INDEX(ClientInfo[Full Name], MATCH(ROWS($R$2:$R603),ClientInfo[frequency], 0)),"")</f>
        <v/>
      </c>
    </row>
    <row r="604" spans="1:19">
      <c r="A604" t="str">
        <f>TRIM(CONCATENATE(ClientInfo[[#This Row],[First Name]], " ",ClientInfo[[#This Row],[Last Name]]))</f>
        <v>Ken Dickert</v>
      </c>
      <c r="B604" t="s">
        <v>102</v>
      </c>
      <c r="C604" t="s">
        <v>627</v>
      </c>
      <c r="F604" s="52">
        <v>4105980955</v>
      </c>
      <c r="G604" s="52" t="s">
        <v>628</v>
      </c>
      <c r="Q604">
        <f>--ISNUMBER(SEARCH('RC Checklist'!$G$2,A604))</f>
        <v>0</v>
      </c>
      <c r="R604" t="str">
        <f>IF(Q604=1,COUNTIF($Q$2:$Q604,1),"")</f>
        <v/>
      </c>
      <c r="S604" t="str">
        <f>IFERROR(INDEX(ClientInfo[Full Name], MATCH(ROWS($R$2:$R604),ClientInfo[frequency], 0)),"")</f>
        <v/>
      </c>
    </row>
    <row r="605" spans="1:19">
      <c r="A605" t="str">
        <f>TRIM(CONCATENATE(ClientInfo[[#This Row],[First Name]], " ",ClientInfo[[#This Row],[Last Name]]))</f>
        <v>Ken Dunston</v>
      </c>
      <c r="B605" t="s">
        <v>102</v>
      </c>
      <c r="C605" t="s">
        <v>2705</v>
      </c>
      <c r="D605" t="s">
        <v>2706</v>
      </c>
      <c r="F605" s="52">
        <v>4434654485</v>
      </c>
      <c r="G605" s="52">
        <v>4105611901</v>
      </c>
      <c r="P605" t="s">
        <v>2707</v>
      </c>
      <c r="Q605">
        <f>--ISNUMBER(SEARCH('RC Checklist'!$G$2,A605))</f>
        <v>0</v>
      </c>
      <c r="R605" t="str">
        <f>IF(Q605=1,COUNTIF($Q$2:$Q605,1),"")</f>
        <v/>
      </c>
      <c r="S605" t="str">
        <f>IFERROR(INDEX(ClientInfo[Full Name], MATCH(ROWS($R$2:$R605),ClientInfo[frequency], 0)),"")</f>
        <v/>
      </c>
    </row>
    <row r="606" spans="1:19">
      <c r="A606" t="str">
        <f>TRIM(CONCATENATE(ClientInfo[[#This Row],[First Name]], " ",ClientInfo[[#This Row],[Last Name]]))</f>
        <v>Ken Morris</v>
      </c>
      <c r="B606" t="s">
        <v>102</v>
      </c>
      <c r="C606" t="s">
        <v>1430</v>
      </c>
      <c r="D606" t="s">
        <v>1431</v>
      </c>
      <c r="F606" s="52">
        <v>4437405020</v>
      </c>
      <c r="Q606">
        <f>--ISNUMBER(SEARCH('RC Checklist'!$G$2,A606))</f>
        <v>0</v>
      </c>
      <c r="R606" t="str">
        <f>IF(Q606=1,COUNTIF($Q$2:$Q606,1),"")</f>
        <v/>
      </c>
      <c r="S606" t="str">
        <f>IFERROR(INDEX(ClientInfo[Full Name], MATCH(ROWS($R$2:$R606),ClientInfo[frequency], 0)),"")</f>
        <v/>
      </c>
    </row>
    <row r="607" spans="1:19">
      <c r="A607" t="str">
        <f>TRIM(CONCATENATE(ClientInfo[[#This Row],[First Name]], " ",ClientInfo[[#This Row],[Last Name]]))</f>
        <v>Ken Stevenson</v>
      </c>
      <c r="B607" t="s">
        <v>102</v>
      </c>
      <c r="C607" t="s">
        <v>103</v>
      </c>
      <c r="D607" t="s">
        <v>104</v>
      </c>
      <c r="E607" t="s">
        <v>105</v>
      </c>
      <c r="F607" s="52">
        <v>4103292136</v>
      </c>
      <c r="G607" s="52">
        <v>4432506403</v>
      </c>
      <c r="H607" t="s">
        <v>106</v>
      </c>
      <c r="Q607">
        <f>--ISNUMBER(SEARCH('RC Checklist'!$G$2,A607))</f>
        <v>0</v>
      </c>
      <c r="R607" t="str">
        <f>IF(Q607=1,COUNTIF($Q$2:$Q607,1),"")</f>
        <v/>
      </c>
      <c r="S607" t="str">
        <f>IFERROR(INDEX(ClientInfo[Full Name], MATCH(ROWS($R$2:$R607),ClientInfo[frequency], 0)),"")</f>
        <v/>
      </c>
    </row>
    <row r="608" spans="1:19">
      <c r="A608" t="str">
        <f>TRIM(CONCATENATE(ClientInfo[[#This Row],[First Name]], " ",ClientInfo[[#This Row],[Last Name]]))</f>
        <v>Kennedy Krieger Institute</v>
      </c>
      <c r="B608" t="s">
        <v>1054</v>
      </c>
      <c r="D608" t="s">
        <v>1054</v>
      </c>
      <c r="F608" s="52" t="s">
        <v>1055</v>
      </c>
      <c r="O608" t="s">
        <v>1056</v>
      </c>
      <c r="Q608">
        <f>--ISNUMBER(SEARCH('RC Checklist'!$G$2,A608))</f>
        <v>0</v>
      </c>
      <c r="R608" t="str">
        <f>IF(Q608=1,COUNTIF($Q$2:$Q608,1),"")</f>
        <v/>
      </c>
      <c r="S608" t="str">
        <f>IFERROR(INDEX(ClientInfo[Full Name], MATCH(ROWS($R$2:$R608),ClientInfo[frequency], 0)),"")</f>
        <v/>
      </c>
    </row>
    <row r="609" spans="1:19">
      <c r="A609" t="str">
        <f>TRIM(CONCATENATE(ClientInfo[[#This Row],[First Name]], " ",ClientInfo[[#This Row],[Last Name]]))</f>
        <v>Kenneth &amp; Jennifer Lindyberg</v>
      </c>
      <c r="B609" t="s">
        <v>2314</v>
      </c>
      <c r="C609" t="s">
        <v>2315</v>
      </c>
      <c r="F609" s="52" t="s">
        <v>2316</v>
      </c>
      <c r="O609" t="s">
        <v>2317</v>
      </c>
      <c r="Q609">
        <f>--ISNUMBER(SEARCH('RC Checklist'!$G$2,A609))</f>
        <v>0</v>
      </c>
      <c r="R609" t="str">
        <f>IF(Q609=1,COUNTIF($Q$2:$Q609,1),"")</f>
        <v/>
      </c>
      <c r="S609" t="str">
        <f>IFERROR(INDEX(ClientInfo[Full Name], MATCH(ROWS($R$2:$R609),ClientInfo[frequency], 0)),"")</f>
        <v/>
      </c>
    </row>
    <row r="610" spans="1:19">
      <c r="A610" t="str">
        <f>TRIM(CONCATENATE(ClientInfo[[#This Row],[First Name]], " ",ClientInfo[[#This Row],[Last Name]]))</f>
        <v>Kevin</v>
      </c>
      <c r="B610" t="s">
        <v>306</v>
      </c>
      <c r="F610" s="52" t="s">
        <v>1710</v>
      </c>
      <c r="P610" t="s">
        <v>1711</v>
      </c>
      <c r="Q610">
        <f>--ISNUMBER(SEARCH('RC Checklist'!$G$2,A610))</f>
        <v>0</v>
      </c>
      <c r="R610" t="str">
        <f>IF(Q610=1,COUNTIF($Q$2:$Q610,1),"")</f>
        <v/>
      </c>
      <c r="S610" t="str">
        <f>IFERROR(INDEX(ClientInfo[Full Name], MATCH(ROWS($R$2:$R610),ClientInfo[frequency], 0)),"")</f>
        <v/>
      </c>
    </row>
    <row r="611" spans="1:19">
      <c r="A611" t="str">
        <f>TRIM(CONCATENATE(ClientInfo[[#This Row],[First Name]], " ",ClientInfo[[#This Row],[Last Name]]))</f>
        <v>Kevin</v>
      </c>
      <c r="B611" t="s">
        <v>306</v>
      </c>
      <c r="D611" t="s">
        <v>2084</v>
      </c>
      <c r="Q611">
        <f>--ISNUMBER(SEARCH('RC Checklist'!$G$2,A611))</f>
        <v>0</v>
      </c>
      <c r="R611" t="str">
        <f>IF(Q611=1,COUNTIF($Q$2:$Q611,1),"")</f>
        <v/>
      </c>
      <c r="S611" t="str">
        <f>IFERROR(INDEX(ClientInfo[Full Name], MATCH(ROWS($R$2:$R611),ClientInfo[frequency], 0)),"")</f>
        <v/>
      </c>
    </row>
    <row r="612" spans="1:19">
      <c r="A612" t="str">
        <f>TRIM(CONCATENATE(ClientInfo[[#This Row],[First Name]], " ",ClientInfo[[#This Row],[Last Name]]))</f>
        <v>Kevin &amp; Debra Dooley</v>
      </c>
      <c r="B612" t="s">
        <v>1512</v>
      </c>
      <c r="C612" t="s">
        <v>1513</v>
      </c>
      <c r="F612" s="52" t="s">
        <v>1514</v>
      </c>
      <c r="O612" t="s">
        <v>1515</v>
      </c>
      <c r="Q612">
        <f>--ISNUMBER(SEARCH('RC Checklist'!$G$2,A612))</f>
        <v>0</v>
      </c>
      <c r="R612" t="str">
        <f>IF(Q612=1,COUNTIF($Q$2:$Q612,1),"")</f>
        <v/>
      </c>
      <c r="S612" t="str">
        <f>IFERROR(INDEX(ClientInfo[Full Name], MATCH(ROWS($R$2:$R612),ClientInfo[frequency], 0)),"")</f>
        <v/>
      </c>
    </row>
    <row r="613" spans="1:19">
      <c r="A613" t="str">
        <f>TRIM(CONCATENATE(ClientInfo[[#This Row],[First Name]], " ",ClientInfo[[#This Row],[Last Name]]))</f>
        <v>Kevin &amp; Erica Curtis</v>
      </c>
      <c r="B613" t="s">
        <v>508</v>
      </c>
      <c r="C613" t="s">
        <v>509</v>
      </c>
      <c r="H613" t="s">
        <v>510</v>
      </c>
      <c r="O613" t="s">
        <v>511</v>
      </c>
      <c r="Q613">
        <f>--ISNUMBER(SEARCH('RC Checklist'!$G$2,A613))</f>
        <v>0</v>
      </c>
      <c r="R613" t="str">
        <f>IF(Q613=1,COUNTIF($Q$2:$Q613,1),"")</f>
        <v/>
      </c>
      <c r="S613" t="str">
        <f>IFERROR(INDEX(ClientInfo[Full Name], MATCH(ROWS($R$2:$R613),ClientInfo[frequency], 0)),"")</f>
        <v/>
      </c>
    </row>
    <row r="614" spans="1:19">
      <c r="A614" t="str">
        <f>TRIM(CONCATENATE(ClientInfo[[#This Row],[First Name]], " ",ClientInfo[[#This Row],[Last Name]]))</f>
        <v>Kevin &amp; Kristin Fusco</v>
      </c>
      <c r="B614" t="s">
        <v>861</v>
      </c>
      <c r="C614" t="s">
        <v>862</v>
      </c>
      <c r="O614" t="s">
        <v>863</v>
      </c>
      <c r="Q614">
        <f>--ISNUMBER(SEARCH('RC Checklist'!$G$2,A614))</f>
        <v>0</v>
      </c>
      <c r="R614" t="str">
        <f>IF(Q614=1,COUNTIF($Q$2:$Q614,1),"")</f>
        <v/>
      </c>
      <c r="S614" t="str">
        <f>IFERROR(INDEX(ClientInfo[Full Name], MATCH(ROWS($R$2:$R614),ClientInfo[frequency], 0)),"")</f>
        <v/>
      </c>
    </row>
    <row r="615" spans="1:19">
      <c r="A615" t="str">
        <f>TRIM(CONCATENATE(ClientInfo[[#This Row],[First Name]], " ",ClientInfo[[#This Row],[Last Name]]))</f>
        <v>Kevin &amp; Marybeth Drumheller</v>
      </c>
      <c r="B615" t="s">
        <v>1099</v>
      </c>
      <c r="C615" t="s">
        <v>1100</v>
      </c>
      <c r="F615" s="52" t="s">
        <v>2648</v>
      </c>
      <c r="G615" s="52" t="s">
        <v>2649</v>
      </c>
      <c r="H615" t="s">
        <v>2650</v>
      </c>
      <c r="O615" t="s">
        <v>1101</v>
      </c>
      <c r="Q615">
        <f>--ISNUMBER(SEARCH('RC Checklist'!$G$2,A615))</f>
        <v>0</v>
      </c>
      <c r="R615" t="str">
        <f>IF(Q615=1,COUNTIF($Q$2:$Q615,1),"")</f>
        <v/>
      </c>
      <c r="S615" t="str">
        <f>IFERROR(INDEX(ClientInfo[Full Name], MATCH(ROWS($R$2:$R615),ClientInfo[frequency], 0)),"")</f>
        <v/>
      </c>
    </row>
    <row r="616" spans="1:19">
      <c r="A616" t="str">
        <f>TRIM(CONCATENATE(ClientInfo[[#This Row],[First Name]], " ",ClientInfo[[#This Row],[Last Name]]))</f>
        <v>Kevin &amp; Marybeth Drumheller</v>
      </c>
      <c r="B616" t="s">
        <v>1099</v>
      </c>
      <c r="C616" t="s">
        <v>1100</v>
      </c>
      <c r="F616" s="52">
        <v>4103299767</v>
      </c>
      <c r="O616" t="s">
        <v>1101</v>
      </c>
      <c r="Q616">
        <f>--ISNUMBER(SEARCH('RC Checklist'!$G$2,A616))</f>
        <v>0</v>
      </c>
      <c r="R616" t="str">
        <f>IF(Q616=1,COUNTIF($Q$2:$Q616,1),"")</f>
        <v/>
      </c>
      <c r="S616" t="str">
        <f>IFERROR(INDEX(ClientInfo[Full Name], MATCH(ROWS($R$2:$R616),ClientInfo[frequency], 0)),"")</f>
        <v/>
      </c>
    </row>
    <row r="617" spans="1:19">
      <c r="A617" t="str">
        <f>TRIM(CONCATENATE(ClientInfo[[#This Row],[First Name]], " ",ClientInfo[[#This Row],[Last Name]]))</f>
        <v>Kevin Dietz</v>
      </c>
      <c r="B617" t="s">
        <v>306</v>
      </c>
      <c r="C617" t="s">
        <v>1024</v>
      </c>
      <c r="D617" t="s">
        <v>1025</v>
      </c>
      <c r="F617" s="52">
        <v>4108088958</v>
      </c>
      <c r="O617" t="s">
        <v>1026</v>
      </c>
      <c r="Q617">
        <f>--ISNUMBER(SEARCH('RC Checklist'!$G$2,A617))</f>
        <v>0</v>
      </c>
      <c r="R617" t="str">
        <f>IF(Q617=1,COUNTIF($Q$2:$Q617,1),"")</f>
        <v/>
      </c>
      <c r="S617" t="str">
        <f>IFERROR(INDEX(ClientInfo[Full Name], MATCH(ROWS($R$2:$R617),ClientInfo[frequency], 0)),"")</f>
        <v/>
      </c>
    </row>
    <row r="618" spans="1:19">
      <c r="A618" t="str">
        <f>TRIM(CONCATENATE(ClientInfo[[#This Row],[First Name]], " ",ClientInfo[[#This Row],[Last Name]]))</f>
        <v>Kevin gerald</v>
      </c>
      <c r="B618" t="s">
        <v>306</v>
      </c>
      <c r="C618" t="s">
        <v>307</v>
      </c>
      <c r="F618" s="52">
        <v>4105501051</v>
      </c>
      <c r="P618" t="s">
        <v>308</v>
      </c>
      <c r="Q618">
        <f>--ISNUMBER(SEARCH('RC Checklist'!$G$2,A618))</f>
        <v>0</v>
      </c>
      <c r="R618" t="str">
        <f>IF(Q618=1,COUNTIF($Q$2:$Q618,1),"")</f>
        <v/>
      </c>
      <c r="S618" t="str">
        <f>IFERROR(INDEX(ClientInfo[Full Name], MATCH(ROWS($R$2:$R618),ClientInfo[frequency], 0)),"")</f>
        <v/>
      </c>
    </row>
    <row r="619" spans="1:19">
      <c r="A619" t="str">
        <f>TRIM(CONCATENATE(ClientInfo[[#This Row],[First Name]], " ",ClientInfo[[#This Row],[Last Name]]))</f>
        <v>Kevin Kelley</v>
      </c>
      <c r="B619" t="s">
        <v>306</v>
      </c>
      <c r="C619" t="s">
        <v>2868</v>
      </c>
      <c r="D619" t="s">
        <v>2869</v>
      </c>
      <c r="F619" s="52" t="s">
        <v>2870</v>
      </c>
      <c r="O619" t="s">
        <v>2871</v>
      </c>
      <c r="Q619">
        <f>--ISNUMBER(SEARCH('RC Checklist'!$G$2,A619))</f>
        <v>0</v>
      </c>
      <c r="R619" t="str">
        <f>IF(Q619=1,COUNTIF($Q$2:$Q619,1),"")</f>
        <v/>
      </c>
      <c r="S619" t="str">
        <f>IFERROR(INDEX(ClientInfo[Full Name], MATCH(ROWS($R$2:$R619),ClientInfo[frequency], 0)),"")</f>
        <v/>
      </c>
    </row>
    <row r="620" spans="1:19">
      <c r="A620" t="str">
        <f>TRIM(CONCATENATE(ClientInfo[[#This Row],[First Name]], " ",ClientInfo[[#This Row],[Last Name]]))</f>
        <v>Kevin Michelle Du</v>
      </c>
      <c r="B620" t="s">
        <v>306</v>
      </c>
      <c r="C620" t="s">
        <v>1506</v>
      </c>
      <c r="F620" s="52">
        <v>4102187071</v>
      </c>
      <c r="Q620">
        <f>--ISNUMBER(SEARCH('RC Checklist'!$G$2,A620))</f>
        <v>0</v>
      </c>
      <c r="R620" t="str">
        <f>IF(Q620=1,COUNTIF($Q$2:$Q620,1),"")</f>
        <v/>
      </c>
      <c r="S620" t="str">
        <f>IFERROR(INDEX(ClientInfo[Full Name], MATCH(ROWS($R$2:$R620),ClientInfo[frequency], 0)),"")</f>
        <v/>
      </c>
    </row>
    <row r="621" spans="1:19">
      <c r="A621" t="str">
        <f>TRIM(CONCATENATE(ClientInfo[[#This Row],[First Name]], " ",ClientInfo[[#This Row],[Last Name]]))</f>
        <v>Kevin Stauffer</v>
      </c>
      <c r="B621" t="s">
        <v>306</v>
      </c>
      <c r="C621" t="s">
        <v>2639</v>
      </c>
      <c r="F621" s="52" t="s">
        <v>2640</v>
      </c>
      <c r="Q621">
        <f>--ISNUMBER(SEARCH('RC Checklist'!$G$2,A621))</f>
        <v>0</v>
      </c>
      <c r="R621" t="str">
        <f>IF(Q621=1,COUNTIF($Q$2:$Q621,1),"")</f>
        <v/>
      </c>
      <c r="S621" t="str">
        <f>IFERROR(INDEX(ClientInfo[Full Name], MATCH(ROWS($R$2:$R621),ClientInfo[frequency], 0)),"")</f>
        <v/>
      </c>
    </row>
    <row r="622" spans="1:19">
      <c r="A622" t="str">
        <f>TRIM(CONCATENATE(ClientInfo[[#This Row],[First Name]], " ",ClientInfo[[#This Row],[Last Name]]))</f>
        <v>Kevin White</v>
      </c>
      <c r="B622" t="s">
        <v>306</v>
      </c>
      <c r="C622" t="s">
        <v>44</v>
      </c>
      <c r="F622" s="52" t="s">
        <v>1875</v>
      </c>
      <c r="Q622">
        <f>--ISNUMBER(SEARCH('RC Checklist'!$G$2,A622))</f>
        <v>0</v>
      </c>
      <c r="R622" t="str">
        <f>IF(Q622=1,COUNTIF($Q$2:$Q622,1),"")</f>
        <v/>
      </c>
      <c r="S622" t="str">
        <f>IFERROR(INDEX(ClientInfo[Full Name], MATCH(ROWS($R$2:$R622),ClientInfo[frequency], 0)),"")</f>
        <v/>
      </c>
    </row>
    <row r="623" spans="1:19">
      <c r="A623" t="str">
        <f>TRIM(CONCATENATE(ClientInfo[[#This Row],[First Name]], " ",ClientInfo[[#This Row],[Last Name]]))</f>
        <v>Keystone Automotive</v>
      </c>
      <c r="B623" t="s">
        <v>908</v>
      </c>
      <c r="D623" t="s">
        <v>908</v>
      </c>
      <c r="F623" s="52" t="s">
        <v>909</v>
      </c>
      <c r="O623" t="s">
        <v>910</v>
      </c>
      <c r="Q623">
        <f>--ISNUMBER(SEARCH('RC Checklist'!$G$2,A623))</f>
        <v>0</v>
      </c>
      <c r="R623" t="str">
        <f>IF(Q623=1,COUNTIF($Q$2:$Q623,1),"")</f>
        <v/>
      </c>
      <c r="S623" t="str">
        <f>IFERROR(INDEX(ClientInfo[Full Name], MATCH(ROWS($R$2:$R623),ClientInfo[frequency], 0)),"")</f>
        <v/>
      </c>
    </row>
    <row r="624" spans="1:19">
      <c r="A624" t="str">
        <f>TRIM(CONCATENATE(ClientInfo[[#This Row],[First Name]], " ",ClientInfo[[#This Row],[Last Name]]))</f>
        <v>Keytly Maa Recon</v>
      </c>
      <c r="B624" t="s">
        <v>880</v>
      </c>
      <c r="C624" t="s">
        <v>881</v>
      </c>
      <c r="F624" s="52">
        <v>7172787925</v>
      </c>
      <c r="Q624">
        <f>--ISNUMBER(SEARCH('RC Checklist'!$G$2,A624))</f>
        <v>0</v>
      </c>
      <c r="R624" t="str">
        <f>IF(Q624=1,COUNTIF($Q$2:$Q624,1),"")</f>
        <v/>
      </c>
      <c r="S624" t="str">
        <f>IFERROR(INDEX(ClientInfo[Full Name], MATCH(ROWS($R$2:$R624),ClientInfo[frequency], 0)),"")</f>
        <v/>
      </c>
    </row>
    <row r="625" spans="1:19">
      <c r="A625" t="str">
        <f>TRIM(CONCATENATE(ClientInfo[[#This Row],[First Name]], " ",ClientInfo[[#This Row],[Last Name]]))</f>
        <v>Kieth</v>
      </c>
      <c r="B625" t="s">
        <v>1889</v>
      </c>
      <c r="D625" t="s">
        <v>2151</v>
      </c>
      <c r="F625" s="52" t="s">
        <v>2152</v>
      </c>
      <c r="O625" t="s">
        <v>2153</v>
      </c>
      <c r="Q625">
        <f>--ISNUMBER(SEARCH('RC Checklist'!$G$2,A625))</f>
        <v>0</v>
      </c>
      <c r="R625" t="str">
        <f>IF(Q625=1,COUNTIF($Q$2:$Q625,1),"")</f>
        <v/>
      </c>
      <c r="S625" t="str">
        <f>IFERROR(INDEX(ClientInfo[Full Name], MATCH(ROWS($R$2:$R625),ClientInfo[frequency], 0)),"")</f>
        <v/>
      </c>
    </row>
    <row r="626" spans="1:19">
      <c r="A626" t="str">
        <f>TRIM(CONCATENATE(ClientInfo[[#This Row],[First Name]], " ",ClientInfo[[#This Row],[Last Name]]))</f>
        <v>Kieth heritage</v>
      </c>
      <c r="B626" t="s">
        <v>1889</v>
      </c>
      <c r="C626" t="s">
        <v>1890</v>
      </c>
      <c r="F626" s="52">
        <v>4438580982</v>
      </c>
      <c r="Q626">
        <f>--ISNUMBER(SEARCH('RC Checklist'!$G$2,A626))</f>
        <v>0</v>
      </c>
      <c r="R626" t="str">
        <f>IF(Q626=1,COUNTIF($Q$2:$Q626,1),"")</f>
        <v/>
      </c>
      <c r="S626" t="str">
        <f>IFERROR(INDEX(ClientInfo[Full Name], MATCH(ROWS($R$2:$R626),ClientInfo[frequency], 0)),"")</f>
        <v/>
      </c>
    </row>
    <row r="627" spans="1:19">
      <c r="A627" t="str">
        <f>TRIM(CONCATENATE(ClientInfo[[#This Row],[First Name]], " ",ClientInfo[[#This Row],[Last Name]]))</f>
        <v>Kim</v>
      </c>
      <c r="B627" t="s">
        <v>725</v>
      </c>
      <c r="D627" t="s">
        <v>1492</v>
      </c>
      <c r="F627" s="52" t="s">
        <v>1493</v>
      </c>
      <c r="Q627">
        <f>--ISNUMBER(SEARCH('RC Checklist'!$G$2,A627))</f>
        <v>0</v>
      </c>
      <c r="R627" t="str">
        <f>IF(Q627=1,COUNTIF($Q$2:$Q627,1),"")</f>
        <v/>
      </c>
      <c r="S627" t="str">
        <f>IFERROR(INDEX(ClientInfo[Full Name], MATCH(ROWS($R$2:$R627),ClientInfo[frequency], 0)),"")</f>
        <v/>
      </c>
    </row>
    <row r="628" spans="1:19">
      <c r="A628" t="str">
        <f>TRIM(CONCATENATE(ClientInfo[[#This Row],[First Name]], " ",ClientInfo[[#This Row],[Last Name]]))</f>
        <v>Kim</v>
      </c>
      <c r="B628" t="s">
        <v>725</v>
      </c>
      <c r="F628" s="52">
        <v>4436172808</v>
      </c>
      <c r="Q628">
        <f>--ISNUMBER(SEARCH('RC Checklist'!$G$2,A628))</f>
        <v>0</v>
      </c>
      <c r="R628" t="str">
        <f>IF(Q628=1,COUNTIF($Q$2:$Q628,1),"")</f>
        <v/>
      </c>
      <c r="S628" t="str">
        <f>IFERROR(INDEX(ClientInfo[Full Name], MATCH(ROWS($R$2:$R628),ClientInfo[frequency], 0)),"")</f>
        <v/>
      </c>
    </row>
    <row r="629" spans="1:19">
      <c r="A629" t="str">
        <f>TRIM(CONCATENATE(ClientInfo[[#This Row],[First Name]], " ",ClientInfo[[#This Row],[Last Name]]))</f>
        <v>Kim Bonomo</v>
      </c>
      <c r="B629" t="s">
        <v>725</v>
      </c>
      <c r="C629" t="s">
        <v>2771</v>
      </c>
      <c r="F629" s="52">
        <v>14106882705</v>
      </c>
      <c r="Q629">
        <f>--ISNUMBER(SEARCH('RC Checklist'!$G$2,A629))</f>
        <v>0</v>
      </c>
      <c r="R629" t="str">
        <f>IF(Q629=1,COUNTIF($Q$2:$Q629,1),"")</f>
        <v/>
      </c>
      <c r="S629" t="str">
        <f>IFERROR(INDEX(ClientInfo[Full Name], MATCH(ROWS($R$2:$R629),ClientInfo[frequency], 0)),"")</f>
        <v/>
      </c>
    </row>
    <row r="630" spans="1:19">
      <c r="A630" t="str">
        <f>TRIM(CONCATENATE(ClientInfo[[#This Row],[First Name]], " ",ClientInfo[[#This Row],[Last Name]]))</f>
        <v>Kim Butz</v>
      </c>
      <c r="B630" t="s">
        <v>725</v>
      </c>
      <c r="C630" t="s">
        <v>1452</v>
      </c>
      <c r="F630" s="52" t="s">
        <v>1453</v>
      </c>
      <c r="O630" t="s">
        <v>1454</v>
      </c>
      <c r="Q630">
        <f>--ISNUMBER(SEARCH('RC Checklist'!$G$2,A630))</f>
        <v>0</v>
      </c>
      <c r="R630" t="str">
        <f>IF(Q630=1,COUNTIF($Q$2:$Q630,1),"")</f>
        <v/>
      </c>
      <c r="S630" t="str">
        <f>IFERROR(INDEX(ClientInfo[Full Name], MATCH(ROWS($R$2:$R630),ClientInfo[frequency], 0)),"")</f>
        <v/>
      </c>
    </row>
    <row r="631" spans="1:19">
      <c r="A631" t="str">
        <f>TRIM(CONCATENATE(ClientInfo[[#This Row],[First Name]], " ",ClientInfo[[#This Row],[Last Name]]))</f>
        <v>Kim Coronel</v>
      </c>
      <c r="B631" t="s">
        <v>725</v>
      </c>
      <c r="C631" t="s">
        <v>1527</v>
      </c>
      <c r="F631" s="52" t="s">
        <v>2018</v>
      </c>
      <c r="Q631">
        <f>--ISNUMBER(SEARCH('RC Checklist'!$G$2,A631))</f>
        <v>0</v>
      </c>
      <c r="R631" t="str">
        <f>IF(Q631=1,COUNTIF($Q$2:$Q631,1),"")</f>
        <v/>
      </c>
      <c r="S631" t="str">
        <f>IFERROR(INDEX(ClientInfo[Full Name], MATCH(ROWS($R$2:$R631),ClientInfo[frequency], 0)),"")</f>
        <v/>
      </c>
    </row>
    <row r="632" spans="1:19">
      <c r="A632" t="str">
        <f>TRIM(CONCATENATE(ClientInfo[[#This Row],[First Name]], " ",ClientInfo[[#This Row],[Last Name]]))</f>
        <v>Kim hughs</v>
      </c>
      <c r="B632" t="s">
        <v>725</v>
      </c>
      <c r="C632" t="s">
        <v>944</v>
      </c>
      <c r="F632" s="52">
        <v>4103432296</v>
      </c>
      <c r="Q632">
        <f>--ISNUMBER(SEARCH('RC Checklist'!$G$2,A632))</f>
        <v>0</v>
      </c>
      <c r="R632" t="str">
        <f>IF(Q632=1,COUNTIF($Q$2:$Q632,1),"")</f>
        <v/>
      </c>
      <c r="S632" t="str">
        <f>IFERROR(INDEX(ClientInfo[Full Name], MATCH(ROWS($R$2:$R632),ClientInfo[frequency], 0)),"")</f>
        <v/>
      </c>
    </row>
    <row r="633" spans="1:19">
      <c r="A633" t="str">
        <f>TRIM(CONCATENATE(ClientInfo[[#This Row],[First Name]], " ",ClientInfo[[#This Row],[Last Name]]))</f>
        <v>Kim Hundt</v>
      </c>
      <c r="B633" t="s">
        <v>725</v>
      </c>
      <c r="C633" t="s">
        <v>2464</v>
      </c>
      <c r="F633" s="52" t="s">
        <v>2465</v>
      </c>
      <c r="Q633">
        <f>--ISNUMBER(SEARCH('RC Checklist'!$G$2,A633))</f>
        <v>0</v>
      </c>
      <c r="R633" t="str">
        <f>IF(Q633=1,COUNTIF($Q$2:$Q633,1),"")</f>
        <v/>
      </c>
      <c r="S633" t="str">
        <f>IFERROR(INDEX(ClientInfo[Full Name], MATCH(ROWS($R$2:$R633),ClientInfo[frequency], 0)),"")</f>
        <v/>
      </c>
    </row>
    <row r="634" spans="1:19">
      <c r="A634" t="str">
        <f>TRIM(CONCATENATE(ClientInfo[[#This Row],[First Name]], " ",ClientInfo[[#This Row],[Last Name]]))</f>
        <v>Kim Murcaldo</v>
      </c>
      <c r="B634" t="s">
        <v>725</v>
      </c>
      <c r="C634" t="s">
        <v>726</v>
      </c>
      <c r="F634" s="52">
        <v>14432501215</v>
      </c>
      <c r="Q634">
        <f>--ISNUMBER(SEARCH('RC Checklist'!$G$2,A634))</f>
        <v>0</v>
      </c>
      <c r="R634" t="str">
        <f>IF(Q634=1,COUNTIF($Q$2:$Q634,1),"")</f>
        <v/>
      </c>
      <c r="S634" t="str">
        <f>IFERROR(INDEX(ClientInfo[Full Name], MATCH(ROWS($R$2:$R634),ClientInfo[frequency], 0)),"")</f>
        <v/>
      </c>
    </row>
    <row r="635" spans="1:19">
      <c r="A635" t="str">
        <f>TRIM(CONCATENATE(ClientInfo[[#This Row],[First Name]], " ",ClientInfo[[#This Row],[Last Name]]))</f>
        <v>Kim Schwartz</v>
      </c>
      <c r="B635" t="s">
        <v>725</v>
      </c>
      <c r="C635" t="s">
        <v>1175</v>
      </c>
      <c r="F635" s="52" t="s">
        <v>1176</v>
      </c>
      <c r="Q635">
        <f>--ISNUMBER(SEARCH('RC Checklist'!$G$2,A635))</f>
        <v>0</v>
      </c>
      <c r="R635" t="str">
        <f>IF(Q635=1,COUNTIF($Q$2:$Q635,1),"")</f>
        <v/>
      </c>
      <c r="S635" t="str">
        <f>IFERROR(INDEX(ClientInfo[Full Name], MATCH(ROWS($R$2:$R635),ClientInfo[frequency], 0)),"")</f>
        <v/>
      </c>
    </row>
    <row r="636" spans="1:19">
      <c r="A636" t="str">
        <f>TRIM(CONCATENATE(ClientInfo[[#This Row],[First Name]], " ",ClientInfo[[#This Row],[Last Name]]))</f>
        <v>Kim Schwartz</v>
      </c>
      <c r="B636" t="s">
        <v>725</v>
      </c>
      <c r="C636" t="s">
        <v>1175</v>
      </c>
      <c r="F636" s="52" t="s">
        <v>1176</v>
      </c>
      <c r="Q636">
        <f>--ISNUMBER(SEARCH('RC Checklist'!$G$2,A636))</f>
        <v>0</v>
      </c>
      <c r="R636" t="str">
        <f>IF(Q636=1,COUNTIF($Q$2:$Q636,1),"")</f>
        <v/>
      </c>
      <c r="S636" t="str">
        <f>IFERROR(INDEX(ClientInfo[Full Name], MATCH(ROWS($R$2:$R636),ClientInfo[frequency], 0)),"")</f>
        <v/>
      </c>
    </row>
    <row r="637" spans="1:19">
      <c r="A637" t="str">
        <f>TRIM(CONCATENATE(ClientInfo[[#This Row],[First Name]], " ",ClientInfo[[#This Row],[Last Name]]))</f>
        <v>Kim Schwartz</v>
      </c>
      <c r="B637" t="s">
        <v>725</v>
      </c>
      <c r="C637" t="s">
        <v>1175</v>
      </c>
      <c r="F637" s="52" t="s">
        <v>1176</v>
      </c>
      <c r="Q637">
        <f>--ISNUMBER(SEARCH('RC Checklist'!$G$2,A637))</f>
        <v>0</v>
      </c>
      <c r="R637" t="str">
        <f>IF(Q637=1,COUNTIF($Q$2:$Q637,1),"")</f>
        <v/>
      </c>
      <c r="S637" t="str">
        <f>IFERROR(INDEX(ClientInfo[Full Name], MATCH(ROWS($R$2:$R637),ClientInfo[frequency], 0)),"")</f>
        <v/>
      </c>
    </row>
    <row r="638" spans="1:19">
      <c r="A638" t="str">
        <f>TRIM(CONCATENATE(ClientInfo[[#This Row],[First Name]], " ",ClientInfo[[#This Row],[Last Name]]))</f>
        <v>Kim Willard</v>
      </c>
      <c r="B638" t="s">
        <v>603</v>
      </c>
      <c r="F638" s="52">
        <v>4109679094</v>
      </c>
      <c r="Q638">
        <f>--ISNUMBER(SEARCH('RC Checklist'!$G$2,A638))</f>
        <v>0</v>
      </c>
      <c r="R638" t="str">
        <f>IF(Q638=1,COUNTIF($Q$2:$Q638,1),"")</f>
        <v/>
      </c>
      <c r="S638" t="str">
        <f>IFERROR(INDEX(ClientInfo[Full Name], MATCH(ROWS($R$2:$R638),ClientInfo[frequency], 0)),"")</f>
        <v/>
      </c>
    </row>
    <row r="639" spans="1:19">
      <c r="A639" t="str">
        <f>TRIM(CONCATENATE(ClientInfo[[#This Row],[First Name]], " ",ClientInfo[[#This Row],[Last Name]]))</f>
        <v>Kirk</v>
      </c>
      <c r="B639" t="s">
        <v>2603</v>
      </c>
      <c r="D639" t="s">
        <v>1745</v>
      </c>
      <c r="F639" s="52" t="s">
        <v>2604</v>
      </c>
      <c r="Q639">
        <f>--ISNUMBER(SEARCH('RC Checklist'!$G$2,A639))</f>
        <v>0</v>
      </c>
      <c r="R639" t="str">
        <f>IF(Q639=1,COUNTIF($Q$2:$Q639,1),"")</f>
        <v/>
      </c>
      <c r="S639" t="str">
        <f>IFERROR(INDEX(ClientInfo[Full Name], MATCH(ROWS($R$2:$R639),ClientInfo[frequency], 0)),"")</f>
        <v/>
      </c>
    </row>
    <row r="640" spans="1:19">
      <c r="A640" t="str">
        <f>TRIM(CONCATENATE(ClientInfo[[#This Row],[First Name]], " ",ClientInfo[[#This Row],[Last Name]]))</f>
        <v>Kirk Jones</v>
      </c>
      <c r="B640" t="s">
        <v>2603</v>
      </c>
      <c r="C640" t="s">
        <v>477</v>
      </c>
      <c r="F640" s="52" t="s">
        <v>2692</v>
      </c>
      <c r="P640" t="s">
        <v>2693</v>
      </c>
      <c r="Q640">
        <f>--ISNUMBER(SEARCH('RC Checklist'!$G$2,A640))</f>
        <v>0</v>
      </c>
      <c r="R640" t="str">
        <f>IF(Q640=1,COUNTIF($Q$2:$Q640,1),"")</f>
        <v/>
      </c>
      <c r="S640" t="str">
        <f>IFERROR(INDEX(ClientInfo[Full Name], MATCH(ROWS($R$2:$R640),ClientInfo[frequency], 0)),"")</f>
        <v/>
      </c>
    </row>
    <row r="641" spans="1:19">
      <c r="A641" t="str">
        <f>TRIM(CONCATENATE(ClientInfo[[#This Row],[First Name]], " ",ClientInfo[[#This Row],[Last Name]]))</f>
        <v>Kk</v>
      </c>
      <c r="B641" t="s">
        <v>2414</v>
      </c>
      <c r="F641" s="52">
        <v>4109524080</v>
      </c>
      <c r="O641" t="s">
        <v>2415</v>
      </c>
      <c r="Q641">
        <f>--ISNUMBER(SEARCH('RC Checklist'!$G$2,A641))</f>
        <v>0</v>
      </c>
      <c r="R641" t="str">
        <f>IF(Q641=1,COUNTIF($Q$2:$Q641,1),"")</f>
        <v/>
      </c>
      <c r="S641" t="str">
        <f>IFERROR(INDEX(ClientInfo[Full Name], MATCH(ROWS($R$2:$R641),ClientInfo[frequency], 0)),"")</f>
        <v/>
      </c>
    </row>
    <row r="642" spans="1:19">
      <c r="A642" t="str">
        <f>TRIM(CONCATENATE(ClientInfo[[#This Row],[First Name]], " ",ClientInfo[[#This Row],[Last Name]]))</f>
        <v>Kristina King</v>
      </c>
      <c r="B642" t="s">
        <v>2416</v>
      </c>
      <c r="C642" t="s">
        <v>534</v>
      </c>
      <c r="D642" t="s">
        <v>2417</v>
      </c>
      <c r="F642" s="52" t="s">
        <v>2418</v>
      </c>
      <c r="Q642">
        <f>--ISNUMBER(SEARCH('RC Checklist'!$G$2,A642))</f>
        <v>0</v>
      </c>
      <c r="R642" t="str">
        <f>IF(Q642=1,COUNTIF($Q$2:$Q642,1),"")</f>
        <v/>
      </c>
      <c r="S642" t="str">
        <f>IFERROR(INDEX(ClientInfo[Full Name], MATCH(ROWS($R$2:$R642),ClientInfo[frequency], 0)),"")</f>
        <v/>
      </c>
    </row>
    <row r="643" spans="1:19">
      <c r="A643" t="str">
        <f>TRIM(CONCATENATE(ClientInfo[[#This Row],[First Name]], " ",ClientInfo[[#This Row],[Last Name]]))</f>
        <v>Kyle</v>
      </c>
      <c r="B643" t="s">
        <v>721</v>
      </c>
      <c r="F643" s="52">
        <v>14108070329</v>
      </c>
      <c r="Q643">
        <f>--ISNUMBER(SEARCH('RC Checklist'!$G$2,A643))</f>
        <v>0</v>
      </c>
      <c r="R643" t="str">
        <f>IF(Q643=1,COUNTIF($Q$2:$Q643,1),"")</f>
        <v/>
      </c>
      <c r="S643" t="str">
        <f>IFERROR(INDEX(ClientInfo[Full Name], MATCH(ROWS($R$2:$R643),ClientInfo[frequency], 0)),"")</f>
        <v/>
      </c>
    </row>
    <row r="644" spans="1:19">
      <c r="A644" t="str">
        <f>TRIM(CONCATENATE(ClientInfo[[#This Row],[First Name]], " ",ClientInfo[[#This Row],[Last Name]]))</f>
        <v>L &amp; L Supply</v>
      </c>
      <c r="B644" t="s">
        <v>867</v>
      </c>
      <c r="D644" t="s">
        <v>867</v>
      </c>
      <c r="Q644">
        <f>--ISNUMBER(SEARCH('RC Checklist'!$G$2,A644))</f>
        <v>0</v>
      </c>
      <c r="R644" t="str">
        <f>IF(Q644=1,COUNTIF($Q$2:$Q644,1),"")</f>
        <v/>
      </c>
      <c r="S644" t="str">
        <f>IFERROR(INDEX(ClientInfo[Full Name], MATCH(ROWS($R$2:$R644),ClientInfo[frequency], 0)),"")</f>
        <v/>
      </c>
    </row>
    <row r="645" spans="1:19">
      <c r="A645" t="str">
        <f>TRIM(CONCATENATE(ClientInfo[[#This Row],[First Name]], " ",ClientInfo[[#This Row],[Last Name]]))</f>
        <v>Lafarge</v>
      </c>
      <c r="B645" t="s">
        <v>315</v>
      </c>
      <c r="D645" t="s">
        <v>315</v>
      </c>
      <c r="Q645">
        <f>--ISNUMBER(SEARCH('RC Checklist'!$G$2,A645))</f>
        <v>0</v>
      </c>
      <c r="R645" t="str">
        <f>IF(Q645=1,COUNTIF($Q$2:$Q645,1),"")</f>
        <v/>
      </c>
      <c r="S645" t="str">
        <f>IFERROR(INDEX(ClientInfo[Full Name], MATCH(ROWS($R$2:$R645),ClientInfo[frequency], 0)),"")</f>
        <v/>
      </c>
    </row>
    <row r="646" spans="1:19">
      <c r="A646" t="str">
        <f>TRIM(CONCATENATE(ClientInfo[[#This Row],[First Name]], " ",ClientInfo[[#This Row],[Last Name]]))</f>
        <v>Laminate</v>
      </c>
      <c r="C646" t="s">
        <v>2222</v>
      </c>
      <c r="D646" t="s">
        <v>2223</v>
      </c>
      <c r="F646" s="52" t="s">
        <v>2224</v>
      </c>
      <c r="O646" t="s">
        <v>2225</v>
      </c>
      <c r="Q646">
        <f>--ISNUMBER(SEARCH('RC Checklist'!$G$2,A646))</f>
        <v>0</v>
      </c>
      <c r="R646" t="str">
        <f>IF(Q646=1,COUNTIF($Q$2:$Q646,1),"")</f>
        <v/>
      </c>
      <c r="S646" t="str">
        <f>IFERROR(INDEX(ClientInfo[Full Name], MATCH(ROWS($R$2:$R646),ClientInfo[frequency], 0)),"")</f>
        <v/>
      </c>
    </row>
    <row r="647" spans="1:19">
      <c r="A647" t="str">
        <f>TRIM(CONCATENATE(ClientInfo[[#This Row],[First Name]], " ",ClientInfo[[#This Row],[Last Name]]))</f>
        <v>Lance</v>
      </c>
      <c r="B647" t="s">
        <v>1570</v>
      </c>
      <c r="D647" t="s">
        <v>1492</v>
      </c>
      <c r="Q647">
        <f>--ISNUMBER(SEARCH('RC Checklist'!$G$2,A647))</f>
        <v>0</v>
      </c>
      <c r="R647" t="str">
        <f>IF(Q647=1,COUNTIF($Q$2:$Q647,1),"")</f>
        <v/>
      </c>
      <c r="S647" t="str">
        <f>IFERROR(INDEX(ClientInfo[Full Name], MATCH(ROWS($R$2:$R647),ClientInfo[frequency], 0)),"")</f>
        <v/>
      </c>
    </row>
    <row r="648" spans="1:19">
      <c r="A648" t="str">
        <f>TRIM(CONCATENATE(ClientInfo[[#This Row],[First Name]], " ",ClientInfo[[#This Row],[Last Name]]))</f>
        <v>Lara McBummerson</v>
      </c>
      <c r="B648" t="s">
        <v>1019</v>
      </c>
      <c r="C648" t="s">
        <v>3047</v>
      </c>
      <c r="F648" s="52">
        <v>4436058876</v>
      </c>
      <c r="G648" s="52">
        <v>4536457898</v>
      </c>
      <c r="H648" s="21" t="s">
        <v>3004</v>
      </c>
      <c r="I648" t="s">
        <v>3005</v>
      </c>
      <c r="J648" t="s">
        <v>3006</v>
      </c>
      <c r="K648" t="s">
        <v>2989</v>
      </c>
      <c r="L648">
        <v>21234</v>
      </c>
      <c r="M648" s="132">
        <v>8</v>
      </c>
      <c r="N648" t="s">
        <v>3121</v>
      </c>
      <c r="P648" t="s">
        <v>3046</v>
      </c>
      <c r="Q648">
        <f>--ISNUMBER(SEARCH('RC Checklist'!$G$2,A648))</f>
        <v>0</v>
      </c>
      <c r="R648" t="str">
        <f>IF(Q648=1,COUNTIF($Q$2:$Q648,1),"")</f>
        <v/>
      </c>
      <c r="S648" t="str">
        <f>IFERROR(INDEX(ClientInfo[Full Name], MATCH(ROWS($R$2:$R648),ClientInfo[frequency], 0)),"")</f>
        <v/>
      </c>
    </row>
    <row r="649" spans="1:19">
      <c r="A649" t="str">
        <f>TRIM(CONCATENATE(ClientInfo[[#This Row],[First Name]], " ",ClientInfo[[#This Row],[Last Name]]))</f>
        <v>Larain</v>
      </c>
      <c r="B649" t="s">
        <v>120</v>
      </c>
      <c r="D649" t="s">
        <v>121</v>
      </c>
      <c r="F649" s="52">
        <v>4108288200</v>
      </c>
      <c r="H649" t="s">
        <v>122</v>
      </c>
      <c r="O649" t="s">
        <v>123</v>
      </c>
      <c r="Q649">
        <f>--ISNUMBER(SEARCH('RC Checklist'!$G$2,A649))</f>
        <v>0</v>
      </c>
      <c r="R649" t="str">
        <f>IF(Q649=1,COUNTIF($Q$2:$Q649,1),"")</f>
        <v/>
      </c>
      <c r="S649" t="str">
        <f>IFERROR(INDEX(ClientInfo[Full Name], MATCH(ROWS($R$2:$R649),ClientInfo[frequency], 0)),"")</f>
        <v/>
      </c>
    </row>
    <row r="650" spans="1:19">
      <c r="A650" t="str">
        <f>TRIM(CONCATENATE(ClientInfo[[#This Row],[First Name]], " ",ClientInfo[[#This Row],[Last Name]]))</f>
        <v>Large Selection. Of fine</v>
      </c>
      <c r="B650" t="s">
        <v>493</v>
      </c>
      <c r="C650" t="s">
        <v>494</v>
      </c>
      <c r="D650" t="s">
        <v>495</v>
      </c>
      <c r="E650" t="s">
        <v>496</v>
      </c>
      <c r="O650" t="s">
        <v>497</v>
      </c>
      <c r="Q650">
        <f>--ISNUMBER(SEARCH('RC Checklist'!$G$2,A650))</f>
        <v>0</v>
      </c>
      <c r="R650" t="str">
        <f>IF(Q650=1,COUNTIF($Q$2:$Q650,1),"")</f>
        <v/>
      </c>
      <c r="S650" t="str">
        <f>IFERROR(INDEX(ClientInfo[Full Name], MATCH(ROWS($R$2:$R650),ClientInfo[frequency], 0)),"")</f>
        <v/>
      </c>
    </row>
    <row r="651" spans="1:19">
      <c r="A651" t="str">
        <f>TRIM(CONCATENATE(ClientInfo[[#This Row],[First Name]], " ",ClientInfo[[#This Row],[Last Name]]))</f>
        <v>Larisa</v>
      </c>
      <c r="B651" t="s">
        <v>2029</v>
      </c>
      <c r="Q651">
        <f>--ISNUMBER(SEARCH('RC Checklist'!$G$2,A651))</f>
        <v>0</v>
      </c>
      <c r="R651" t="str">
        <f>IF(Q651=1,COUNTIF($Q$2:$Q651,1),"")</f>
        <v/>
      </c>
      <c r="S651" t="str">
        <f>IFERROR(INDEX(ClientInfo[Full Name], MATCH(ROWS($R$2:$R651),ClientInfo[frequency], 0)),"")</f>
        <v/>
      </c>
    </row>
    <row r="652" spans="1:19">
      <c r="A652" t="str">
        <f>TRIM(CONCATENATE(ClientInfo[[#This Row],[First Name]], " ",ClientInfo[[#This Row],[Last Name]]))</f>
        <v>Larry</v>
      </c>
      <c r="C652" t="s">
        <v>320</v>
      </c>
      <c r="Q652">
        <f>--ISNUMBER(SEARCH('RC Checklist'!$G$2,A652))</f>
        <v>0</v>
      </c>
      <c r="R652" t="str">
        <f>IF(Q652=1,COUNTIF($Q$2:$Q652,1),"")</f>
        <v/>
      </c>
      <c r="S652" t="str">
        <f>IFERROR(INDEX(ClientInfo[Full Name], MATCH(ROWS($R$2:$R652),ClientInfo[frequency], 0)),"")</f>
        <v/>
      </c>
    </row>
    <row r="653" spans="1:19">
      <c r="A653" t="str">
        <f>TRIM(CONCATENATE(ClientInfo[[#This Row],[First Name]], " ",ClientInfo[[#This Row],[Last Name]]))</f>
        <v>Larry &amp; Lee Barrow</v>
      </c>
      <c r="B653" t="s">
        <v>1652</v>
      </c>
      <c r="C653" t="s">
        <v>1653</v>
      </c>
      <c r="F653" s="52" t="s">
        <v>1654</v>
      </c>
      <c r="P653" t="s">
        <v>1655</v>
      </c>
      <c r="Q653">
        <f>--ISNUMBER(SEARCH('RC Checklist'!$G$2,A653))</f>
        <v>0</v>
      </c>
      <c r="R653" t="str">
        <f>IF(Q653=1,COUNTIF($Q$2:$Q653,1),"")</f>
        <v/>
      </c>
      <c r="S653" t="str">
        <f>IFERROR(INDEX(ClientInfo[Full Name], MATCH(ROWS($R$2:$R653),ClientInfo[frequency], 0)),"")</f>
        <v/>
      </c>
    </row>
    <row r="654" spans="1:19">
      <c r="A654" t="str">
        <f>TRIM(CONCATENATE(ClientInfo[[#This Row],[First Name]], " ",ClientInfo[[#This Row],[Last Name]]))</f>
        <v>Larry dee</v>
      </c>
      <c r="B654" t="s">
        <v>320</v>
      </c>
      <c r="C654" t="s">
        <v>1812</v>
      </c>
      <c r="F654" s="52">
        <v>4433759735</v>
      </c>
      <c r="Q654">
        <f>--ISNUMBER(SEARCH('RC Checklist'!$G$2,A654))</f>
        <v>0</v>
      </c>
      <c r="R654" t="str">
        <f>IF(Q654=1,COUNTIF($Q$2:$Q654,1),"")</f>
        <v/>
      </c>
      <c r="S654" t="str">
        <f>IFERROR(INDEX(ClientInfo[Full Name], MATCH(ROWS($R$2:$R654),ClientInfo[frequency], 0)),"")</f>
        <v/>
      </c>
    </row>
    <row r="655" spans="1:19">
      <c r="A655" t="str">
        <f>TRIM(CONCATENATE(ClientInfo[[#This Row],[First Name]], " ",ClientInfo[[#This Row],[Last Name]]))</f>
        <v>Larry Heads</v>
      </c>
      <c r="B655" t="s">
        <v>320</v>
      </c>
      <c r="C655" t="s">
        <v>1494</v>
      </c>
      <c r="D655" t="s">
        <v>1495</v>
      </c>
      <c r="F655" s="52" t="s">
        <v>1496</v>
      </c>
      <c r="Q655">
        <f>--ISNUMBER(SEARCH('RC Checklist'!$G$2,A655))</f>
        <v>0</v>
      </c>
      <c r="R655" t="str">
        <f>IF(Q655=1,COUNTIF($Q$2:$Q655,1),"")</f>
        <v/>
      </c>
      <c r="S655" t="str">
        <f>IFERROR(INDEX(ClientInfo[Full Name], MATCH(ROWS($R$2:$R655),ClientInfo[frequency], 0)),"")</f>
        <v/>
      </c>
    </row>
    <row r="656" spans="1:19">
      <c r="A656" t="str">
        <f>TRIM(CONCATENATE(ClientInfo[[#This Row],[First Name]], " ",ClientInfo[[#This Row],[Last Name]]))</f>
        <v>Larry Hellman</v>
      </c>
      <c r="B656" t="s">
        <v>320</v>
      </c>
      <c r="C656" t="s">
        <v>572</v>
      </c>
      <c r="F656" s="52">
        <v>3016649825</v>
      </c>
      <c r="Q656">
        <f>--ISNUMBER(SEARCH('RC Checklist'!$G$2,A656))</f>
        <v>0</v>
      </c>
      <c r="R656" t="str">
        <f>IF(Q656=1,COUNTIF($Q$2:$Q656,1),"")</f>
        <v/>
      </c>
      <c r="S656" t="str">
        <f>IFERROR(INDEX(ClientInfo[Full Name], MATCH(ROWS($R$2:$R656),ClientInfo[frequency], 0)),"")</f>
        <v/>
      </c>
    </row>
    <row r="657" spans="1:19">
      <c r="A657" t="str">
        <f>TRIM(CONCATENATE(ClientInfo[[#This Row],[First Name]], " ",ClientInfo[[#This Row],[Last Name]]))</f>
        <v>Larry Painting Unlimit</v>
      </c>
      <c r="B657" t="s">
        <v>320</v>
      </c>
      <c r="C657" t="s">
        <v>1546</v>
      </c>
      <c r="F657" s="52">
        <v>4103657423</v>
      </c>
      <c r="H657" t="s">
        <v>1547</v>
      </c>
      <c r="Q657">
        <f>--ISNUMBER(SEARCH('RC Checklist'!$G$2,A657))</f>
        <v>0</v>
      </c>
      <c r="R657" t="str">
        <f>IF(Q657=1,COUNTIF($Q$2:$Q657,1),"")</f>
        <v/>
      </c>
      <c r="S657" t="str">
        <f>IFERROR(INDEX(ClientInfo[Full Name], MATCH(ROWS($R$2:$R657),ClientInfo[frequency], 0)),"")</f>
        <v/>
      </c>
    </row>
    <row r="658" spans="1:19">
      <c r="A658" t="str">
        <f>TRIM(CONCATENATE(ClientInfo[[#This Row],[First Name]], " ",ClientInfo[[#This Row],[Last Name]]))</f>
        <v>Laura Burke</v>
      </c>
      <c r="B658" t="s">
        <v>1340</v>
      </c>
      <c r="C658" t="s">
        <v>1341</v>
      </c>
      <c r="D658" t="s">
        <v>1342</v>
      </c>
      <c r="E658" t="s">
        <v>1343</v>
      </c>
      <c r="F658" s="52">
        <v>1460000</v>
      </c>
      <c r="H658" t="s">
        <v>1344</v>
      </c>
      <c r="O658" t="s">
        <v>1345</v>
      </c>
      <c r="Q658">
        <f>--ISNUMBER(SEARCH('RC Checklist'!$G$2,A658))</f>
        <v>0</v>
      </c>
      <c r="R658" t="str">
        <f>IF(Q658=1,COUNTIF($Q$2:$Q658,1),"")</f>
        <v/>
      </c>
      <c r="S658" t="str">
        <f>IFERROR(INDEX(ClientInfo[Full Name], MATCH(ROWS($R$2:$R658),ClientInfo[frequency], 0)),"")</f>
        <v/>
      </c>
    </row>
    <row r="659" spans="1:19">
      <c r="A659" t="str">
        <f>TRIM(CONCATENATE(ClientInfo[[#This Row],[First Name]], " ",ClientInfo[[#This Row],[Last Name]]))</f>
        <v>Laura Christensen</v>
      </c>
      <c r="B659" t="s">
        <v>1340</v>
      </c>
      <c r="C659" t="s">
        <v>2179</v>
      </c>
      <c r="F659" s="52" t="s">
        <v>2180</v>
      </c>
      <c r="H659" t="s">
        <v>2181</v>
      </c>
      <c r="O659" t="s">
        <v>2182</v>
      </c>
      <c r="P659">
        <v>1942</v>
      </c>
      <c r="Q659">
        <f>--ISNUMBER(SEARCH('RC Checklist'!$G$2,A659))</f>
        <v>0</v>
      </c>
      <c r="R659" t="str">
        <f>IF(Q659=1,COUNTIF($Q$2:$Q659,1),"")</f>
        <v/>
      </c>
      <c r="S659" t="str">
        <f>IFERROR(INDEX(ClientInfo[Full Name], MATCH(ROWS($R$2:$R659),ClientInfo[frequency], 0)),"")</f>
        <v/>
      </c>
    </row>
    <row r="660" spans="1:19">
      <c r="A660" t="str">
        <f>TRIM(CONCATENATE(ClientInfo[[#This Row],[First Name]], " ",ClientInfo[[#This Row],[Last Name]]))</f>
        <v>Lawrence Saad</v>
      </c>
      <c r="B660" t="s">
        <v>383</v>
      </c>
      <c r="C660" t="s">
        <v>384</v>
      </c>
      <c r="D660" t="s">
        <v>385</v>
      </c>
      <c r="F660" s="52" t="s">
        <v>386</v>
      </c>
      <c r="G660" s="52" t="s">
        <v>387</v>
      </c>
      <c r="H660" t="s">
        <v>388</v>
      </c>
      <c r="Q660">
        <f>--ISNUMBER(SEARCH('RC Checklist'!$G$2,A660))</f>
        <v>0</v>
      </c>
      <c r="R660" t="str">
        <f>IF(Q660=1,COUNTIF($Q$2:$Q660,1),"")</f>
        <v/>
      </c>
      <c r="S660" t="str">
        <f>IFERROR(INDEX(ClientInfo[Full Name], MATCH(ROWS($R$2:$R660),ClientInfo[frequency], 0)),"")</f>
        <v/>
      </c>
    </row>
    <row r="661" spans="1:19">
      <c r="A661" t="str">
        <f>TRIM(CONCATENATE(ClientInfo[[#This Row],[First Name]], " ",ClientInfo[[#This Row],[Last Name]]))</f>
        <v>Laxaro</v>
      </c>
      <c r="B661" t="s">
        <v>1027</v>
      </c>
      <c r="F661" s="52">
        <v>4102588906</v>
      </c>
      <c r="Q661">
        <f>--ISNUMBER(SEARCH('RC Checklist'!$G$2,A661))</f>
        <v>0</v>
      </c>
      <c r="R661" t="str">
        <f>IF(Q661=1,COUNTIF($Q$2:$Q661,1),"")</f>
        <v/>
      </c>
      <c r="S661" t="str">
        <f>IFERROR(INDEX(ClientInfo[Full Name], MATCH(ROWS($R$2:$R661),ClientInfo[frequency], 0)),"")</f>
        <v/>
      </c>
    </row>
    <row r="662" spans="1:19">
      <c r="A662" t="str">
        <f>TRIM(CONCATENATE(ClientInfo[[#This Row],[First Name]], " ",ClientInfo[[#This Row],[Last Name]]))</f>
        <v>Layton Goodman</v>
      </c>
      <c r="B662" t="s">
        <v>1277</v>
      </c>
      <c r="C662" t="s">
        <v>1278</v>
      </c>
      <c r="D662" t="s">
        <v>1279</v>
      </c>
      <c r="Q662">
        <f>--ISNUMBER(SEARCH('RC Checklist'!$G$2,A662))</f>
        <v>0</v>
      </c>
      <c r="R662" t="str">
        <f>IF(Q662=1,COUNTIF($Q$2:$Q662,1),"")</f>
        <v/>
      </c>
      <c r="S662" t="str">
        <f>IFERROR(INDEX(ClientInfo[Full Name], MATCH(ROWS($R$2:$R662),ClientInfo[frequency], 0)),"")</f>
        <v/>
      </c>
    </row>
    <row r="663" spans="1:19">
      <c r="A663" t="str">
        <f>TRIM(CONCATENATE(ClientInfo[[#This Row],[First Name]], " ",ClientInfo[[#This Row],[Last Name]]))</f>
        <v>Lazro</v>
      </c>
      <c r="B663" t="s">
        <v>1626</v>
      </c>
      <c r="Q663">
        <f>--ISNUMBER(SEARCH('RC Checklist'!$G$2,A663))</f>
        <v>0</v>
      </c>
      <c r="R663" t="str">
        <f>IF(Q663=1,COUNTIF($Q$2:$Q663,1),"")</f>
        <v/>
      </c>
      <c r="S663" t="str">
        <f>IFERROR(INDEX(ClientInfo[Full Name], MATCH(ROWS($R$2:$R663),ClientInfo[frequency], 0)),"")</f>
        <v/>
      </c>
    </row>
    <row r="664" spans="1:19">
      <c r="A664" t="str">
        <f>TRIM(CONCATENATE(ClientInfo[[#This Row],[First Name]], " ",ClientInfo[[#This Row],[Last Name]]))</f>
        <v>Leann</v>
      </c>
      <c r="B664" t="s">
        <v>1698</v>
      </c>
      <c r="F664" s="52">
        <v>4432435862</v>
      </c>
      <c r="Q664">
        <f>--ISNUMBER(SEARCH('RC Checklist'!$G$2,A664))</f>
        <v>0</v>
      </c>
      <c r="R664" t="str">
        <f>IF(Q664=1,COUNTIF($Q$2:$Q664,1),"")</f>
        <v/>
      </c>
      <c r="S664" t="str">
        <f>IFERROR(INDEX(ClientInfo[Full Name], MATCH(ROWS($R$2:$R664),ClientInfo[frequency], 0)),"")</f>
        <v/>
      </c>
    </row>
    <row r="665" spans="1:19">
      <c r="A665" t="str">
        <f>TRIM(CONCATENATE(ClientInfo[[#This Row],[First Name]], " ",ClientInfo[[#This Row],[Last Name]]))</f>
        <v>Ledo Pizza</v>
      </c>
      <c r="B665" t="s">
        <v>2566</v>
      </c>
      <c r="D665" t="s">
        <v>2566</v>
      </c>
      <c r="F665" s="52" t="s">
        <v>2567</v>
      </c>
      <c r="Q665">
        <f>--ISNUMBER(SEARCH('RC Checklist'!$G$2,A665))</f>
        <v>0</v>
      </c>
      <c r="R665" t="str">
        <f>IF(Q665=1,COUNTIF($Q$2:$Q665,1),"")</f>
        <v/>
      </c>
      <c r="S665" t="str">
        <f>IFERROR(INDEX(ClientInfo[Full Name], MATCH(ROWS($R$2:$R665),ClientInfo[frequency], 0)),"")</f>
        <v/>
      </c>
    </row>
    <row r="666" spans="1:19">
      <c r="A666" t="str">
        <f>TRIM(CONCATENATE(ClientInfo[[#This Row],[First Name]], " ",ClientInfo[[#This Row],[Last Name]]))</f>
        <v>Lee ann Santos</v>
      </c>
      <c r="B666" t="s">
        <v>2141</v>
      </c>
      <c r="C666" t="s">
        <v>2142</v>
      </c>
      <c r="F666" s="52" t="s">
        <v>2143</v>
      </c>
      <c r="Q666">
        <f>--ISNUMBER(SEARCH('RC Checklist'!$G$2,A666))</f>
        <v>0</v>
      </c>
      <c r="R666" t="str">
        <f>IF(Q666=1,COUNTIF($Q$2:$Q666,1),"")</f>
        <v/>
      </c>
      <c r="S666" t="str">
        <f>IFERROR(INDEX(ClientInfo[Full Name], MATCH(ROWS($R$2:$R666),ClientInfo[frequency], 0)),"")</f>
        <v/>
      </c>
    </row>
    <row r="667" spans="1:19">
      <c r="A667" t="str">
        <f>TRIM(CONCATENATE(ClientInfo[[#This Row],[First Name]], " ",ClientInfo[[#This Row],[Last Name]]))</f>
        <v>Lee Cohen</v>
      </c>
      <c r="B667" t="s">
        <v>2210</v>
      </c>
      <c r="C667" t="s">
        <v>2211</v>
      </c>
      <c r="F667" s="52" t="s">
        <v>2212</v>
      </c>
      <c r="Q667">
        <f>--ISNUMBER(SEARCH('RC Checklist'!$G$2,A667))</f>
        <v>0</v>
      </c>
      <c r="R667" t="str">
        <f>IF(Q667=1,COUNTIF($Q$2:$Q667,1),"")</f>
        <v/>
      </c>
      <c r="S667" t="str">
        <f>IFERROR(INDEX(ClientInfo[Full Name], MATCH(ROWS($R$2:$R667),ClientInfo[frequency], 0)),"")</f>
        <v/>
      </c>
    </row>
    <row r="668" spans="1:19">
      <c r="A668" t="str">
        <f>TRIM(CONCATENATE(ClientInfo[[#This Row],[First Name]], " ",ClientInfo[[#This Row],[Last Name]]))</f>
        <v>Len &amp; Sue Dougherty</v>
      </c>
      <c r="B668" t="s">
        <v>1721</v>
      </c>
      <c r="C668" t="s">
        <v>591</v>
      </c>
      <c r="F668" s="52">
        <v>4435645429</v>
      </c>
      <c r="H668" t="s">
        <v>1722</v>
      </c>
      <c r="Q668">
        <f>--ISNUMBER(SEARCH('RC Checklist'!$G$2,A668))</f>
        <v>0</v>
      </c>
      <c r="R668" t="str">
        <f>IF(Q668=1,COUNTIF($Q$2:$Q668,1),"")</f>
        <v/>
      </c>
      <c r="S668" t="str">
        <f>IFERROR(INDEX(ClientInfo[Full Name], MATCH(ROWS($R$2:$R668),ClientInfo[frequency], 0)),"")</f>
        <v/>
      </c>
    </row>
    <row r="669" spans="1:19">
      <c r="A669" t="str">
        <f>TRIM(CONCATENATE(ClientInfo[[#This Row],[First Name]], " ",ClientInfo[[#This Row],[Last Name]]))</f>
        <v>Len Baylin</v>
      </c>
      <c r="B669" t="s">
        <v>394</v>
      </c>
      <c r="C669" t="s">
        <v>395</v>
      </c>
      <c r="F669" s="52">
        <v>4104407771</v>
      </c>
      <c r="G669" s="52">
        <v>4106282277</v>
      </c>
      <c r="Q669">
        <f>--ISNUMBER(SEARCH('RC Checklist'!$G$2,A669))</f>
        <v>0</v>
      </c>
      <c r="R669" t="str">
        <f>IF(Q669=1,COUNTIF($Q$2:$Q669,1),"")</f>
        <v/>
      </c>
      <c r="S669" t="str">
        <f>IFERROR(INDEX(ClientInfo[Full Name], MATCH(ROWS($R$2:$R669),ClientInfo[frequency], 0)),"")</f>
        <v/>
      </c>
    </row>
    <row r="670" spans="1:19">
      <c r="A670" t="str">
        <f>TRIM(CONCATENATE(ClientInfo[[#This Row],[First Name]], " ",ClientInfo[[#This Row],[Last Name]]))</f>
        <v>Leonard Spector</v>
      </c>
      <c r="B670" t="s">
        <v>87</v>
      </c>
      <c r="C670" t="s">
        <v>88</v>
      </c>
      <c r="E670" t="s">
        <v>89</v>
      </c>
      <c r="F670" s="52">
        <v>4106704500</v>
      </c>
      <c r="O670" t="s">
        <v>90</v>
      </c>
      <c r="Q670">
        <f>--ISNUMBER(SEARCH('RC Checklist'!$G$2,A670))</f>
        <v>0</v>
      </c>
      <c r="R670" t="str">
        <f>IF(Q670=1,COUNTIF($Q$2:$Q670,1),"")</f>
        <v/>
      </c>
      <c r="S670" t="str">
        <f>IFERROR(INDEX(ClientInfo[Full Name], MATCH(ROWS($R$2:$R670),ClientInfo[frequency], 0)),"")</f>
        <v/>
      </c>
    </row>
    <row r="671" spans="1:19">
      <c r="A671" t="str">
        <f>TRIM(CONCATENATE(ClientInfo[[#This Row],[First Name]], " ",ClientInfo[[#This Row],[Last Name]]))</f>
        <v>Leroy Jones</v>
      </c>
      <c r="B671" t="s">
        <v>1351</v>
      </c>
      <c r="C671" t="s">
        <v>477</v>
      </c>
      <c r="D671" t="s">
        <v>1352</v>
      </c>
      <c r="F671" s="52" t="s">
        <v>1353</v>
      </c>
      <c r="Q671">
        <f>--ISNUMBER(SEARCH('RC Checklist'!$G$2,A671))</f>
        <v>0</v>
      </c>
      <c r="R671" t="str">
        <f>IF(Q671=1,COUNTIF($Q$2:$Q671,1),"")</f>
        <v/>
      </c>
      <c r="S671" t="str">
        <f>IFERROR(INDEX(ClientInfo[Full Name], MATCH(ROWS($R$2:$R671),ClientInfo[frequency], 0)),"")</f>
        <v/>
      </c>
    </row>
    <row r="672" spans="1:19">
      <c r="A672" t="str">
        <f>TRIM(CONCATENATE(ClientInfo[[#This Row],[First Name]], " ",ClientInfo[[#This Row],[Last Name]]))</f>
        <v>Les &amp; Debra Buttion</v>
      </c>
      <c r="B672" t="s">
        <v>2562</v>
      </c>
      <c r="C672" t="s">
        <v>2563</v>
      </c>
      <c r="Q672">
        <f>--ISNUMBER(SEARCH('RC Checklist'!$G$2,A672))</f>
        <v>0</v>
      </c>
      <c r="R672" t="str">
        <f>IF(Q672=1,COUNTIF($Q$2:$Q672,1),"")</f>
        <v/>
      </c>
      <c r="S672" t="str">
        <f>IFERROR(INDEX(ClientInfo[Full Name], MATCH(ROWS($R$2:$R672),ClientInfo[frequency], 0)),"")</f>
        <v/>
      </c>
    </row>
    <row r="673" spans="1:19">
      <c r="A673" t="str">
        <f>TRIM(CONCATENATE(ClientInfo[[#This Row],[First Name]], " ",ClientInfo[[#This Row],[Last Name]]))</f>
        <v>Lew</v>
      </c>
      <c r="B673" t="s">
        <v>1592</v>
      </c>
      <c r="Q673">
        <f>--ISNUMBER(SEARCH('RC Checklist'!$G$2,A673))</f>
        <v>0</v>
      </c>
      <c r="R673" t="str">
        <f>IF(Q673=1,COUNTIF($Q$2:$Q673,1),"")</f>
        <v/>
      </c>
      <c r="S673" t="str">
        <f>IFERROR(INDEX(ClientInfo[Full Name], MATCH(ROWS($R$2:$R673),ClientInfo[frequency], 0)),"")</f>
        <v/>
      </c>
    </row>
    <row r="674" spans="1:19">
      <c r="A674" t="str">
        <f>TRIM(CONCATENATE(ClientInfo[[#This Row],[First Name]], " ",ClientInfo[[#This Row],[Last Name]]))</f>
        <v>Lewis Topper</v>
      </c>
      <c r="B674" t="s">
        <v>513</v>
      </c>
      <c r="C674" t="s">
        <v>2075</v>
      </c>
      <c r="F674" s="52" t="s">
        <v>2076</v>
      </c>
      <c r="Q674">
        <f>--ISNUMBER(SEARCH('RC Checklist'!$G$2,A674))</f>
        <v>0</v>
      </c>
      <c r="R674" t="str">
        <f>IF(Q674=1,COUNTIF($Q$2:$Q674,1),"")</f>
        <v/>
      </c>
      <c r="S674" t="str">
        <f>IFERROR(INDEX(ClientInfo[Full Name], MATCH(ROWS($R$2:$R674),ClientInfo[frequency], 0)),"")</f>
        <v/>
      </c>
    </row>
    <row r="675" spans="1:19">
      <c r="A675" t="str">
        <f>TRIM(CONCATENATE(ClientInfo[[#This Row],[First Name]], " ",ClientInfo[[#This Row],[Last Name]]))</f>
        <v>Lexus Of Towson</v>
      </c>
      <c r="B675" t="s">
        <v>364</v>
      </c>
      <c r="D675" t="s">
        <v>364</v>
      </c>
      <c r="Q675">
        <f>--ISNUMBER(SEARCH('RC Checklist'!$G$2,A675))</f>
        <v>0</v>
      </c>
      <c r="R675" t="str">
        <f>IF(Q675=1,COUNTIF($Q$2:$Q675,1),"")</f>
        <v/>
      </c>
      <c r="S675" t="str">
        <f>IFERROR(INDEX(ClientInfo[Full Name], MATCH(ROWS($R$2:$R675),ClientInfo[frequency], 0)),"")</f>
        <v/>
      </c>
    </row>
    <row r="676" spans="1:19">
      <c r="A676" t="str">
        <f>TRIM(CONCATENATE(ClientInfo[[#This Row],[First Name]], " ",ClientInfo[[#This Row],[Last Name]]))</f>
        <v>Linda</v>
      </c>
      <c r="B676" t="s">
        <v>358</v>
      </c>
      <c r="F676" s="52">
        <v>4109145422</v>
      </c>
      <c r="Q676">
        <f>--ISNUMBER(SEARCH('RC Checklist'!$G$2,A676))</f>
        <v>0</v>
      </c>
      <c r="R676" t="str">
        <f>IF(Q676=1,COUNTIF($Q$2:$Q676,1),"")</f>
        <v/>
      </c>
      <c r="S676" t="str">
        <f>IFERROR(INDEX(ClientInfo[Full Name], MATCH(ROWS($R$2:$R676),ClientInfo[frequency], 0)),"")</f>
        <v/>
      </c>
    </row>
    <row r="677" spans="1:19">
      <c r="A677" t="str">
        <f>TRIM(CONCATENATE(ClientInfo[[#This Row],[First Name]], " ",ClientInfo[[#This Row],[Last Name]]))</f>
        <v>Linda Franz</v>
      </c>
      <c r="B677" t="s">
        <v>358</v>
      </c>
      <c r="C677" t="s">
        <v>359</v>
      </c>
      <c r="D677">
        <v>2788</v>
      </c>
      <c r="F677" s="52">
        <v>4108239150</v>
      </c>
      <c r="Q677">
        <f>--ISNUMBER(SEARCH('RC Checklist'!$G$2,A677))</f>
        <v>0</v>
      </c>
      <c r="R677" t="str">
        <f>IF(Q677=1,COUNTIF($Q$2:$Q677,1),"")</f>
        <v/>
      </c>
      <c r="S677" t="str">
        <f>IFERROR(INDEX(ClientInfo[Full Name], MATCH(ROWS($R$2:$R677),ClientInfo[frequency], 0)),"")</f>
        <v/>
      </c>
    </row>
    <row r="678" spans="1:19">
      <c r="A678" t="str">
        <f>TRIM(CONCATENATE(ClientInfo[[#This Row],[First Name]], " ",ClientInfo[[#This Row],[Last Name]]))</f>
        <v>Linda Ohara</v>
      </c>
      <c r="B678" t="s">
        <v>358</v>
      </c>
      <c r="C678" t="s">
        <v>2796</v>
      </c>
      <c r="F678" s="52" t="s">
        <v>2797</v>
      </c>
      <c r="Q678">
        <f>--ISNUMBER(SEARCH('RC Checklist'!$G$2,A678))</f>
        <v>0</v>
      </c>
      <c r="R678" t="str">
        <f>IF(Q678=1,COUNTIF($Q$2:$Q678,1),"")</f>
        <v/>
      </c>
      <c r="S678" t="str">
        <f>IFERROR(INDEX(ClientInfo[Full Name], MATCH(ROWS($R$2:$R678),ClientInfo[frequency], 0)),"")</f>
        <v/>
      </c>
    </row>
    <row r="679" spans="1:19">
      <c r="A679" t="str">
        <f>TRIM(CONCATENATE(ClientInfo[[#This Row],[First Name]], " ",ClientInfo[[#This Row],[Last Name]]))</f>
        <v>Linda Rodriguez</v>
      </c>
      <c r="B679" t="s">
        <v>358</v>
      </c>
      <c r="C679" t="s">
        <v>1539</v>
      </c>
      <c r="F679" s="52" t="s">
        <v>1540</v>
      </c>
      <c r="G679" s="52" t="s">
        <v>1541</v>
      </c>
      <c r="H679" t="s">
        <v>1542</v>
      </c>
      <c r="Q679">
        <f>--ISNUMBER(SEARCH('RC Checklist'!$G$2,A679))</f>
        <v>0</v>
      </c>
      <c r="R679" t="str">
        <f>IF(Q679=1,COUNTIF($Q$2:$Q679,1),"")</f>
        <v/>
      </c>
      <c r="S679" t="str">
        <f>IFERROR(INDEX(ClientInfo[Full Name], MATCH(ROWS($R$2:$R679),ClientInfo[frequency], 0)),"")</f>
        <v/>
      </c>
    </row>
    <row r="680" spans="1:19">
      <c r="A680" t="str">
        <f>TRIM(CONCATENATE(ClientInfo[[#This Row],[First Name]], " ",ClientInfo[[#This Row],[Last Name]]))</f>
        <v>Lindsy Bennet</v>
      </c>
      <c r="B680" t="s">
        <v>1998</v>
      </c>
      <c r="C680" t="s">
        <v>1999</v>
      </c>
      <c r="D680" t="s">
        <v>2000</v>
      </c>
      <c r="F680" s="52" t="s">
        <v>2001</v>
      </c>
      <c r="Q680">
        <f>--ISNUMBER(SEARCH('RC Checklist'!$G$2,A680))</f>
        <v>0</v>
      </c>
      <c r="R680" t="str">
        <f>IF(Q680=1,COUNTIF($Q$2:$Q680,1),"")</f>
        <v/>
      </c>
      <c r="S680" t="str">
        <f>IFERROR(INDEX(ClientInfo[Full Name], MATCH(ROWS($R$2:$R680),ClientInfo[frequency], 0)),"")</f>
        <v/>
      </c>
    </row>
    <row r="681" spans="1:19">
      <c r="A681" t="str">
        <f>TRIM(CONCATENATE(ClientInfo[[#This Row],[First Name]], " ",ClientInfo[[#This Row],[Last Name]]))</f>
        <v>Lino</v>
      </c>
      <c r="B681" t="s">
        <v>1744</v>
      </c>
      <c r="D681" t="s">
        <v>1745</v>
      </c>
      <c r="F681" s="52" t="s">
        <v>1746</v>
      </c>
      <c r="Q681">
        <f>--ISNUMBER(SEARCH('RC Checklist'!$G$2,A681))</f>
        <v>0</v>
      </c>
      <c r="R681" t="str">
        <f>IF(Q681=1,COUNTIF($Q$2:$Q681,1),"")</f>
        <v/>
      </c>
      <c r="S681" t="str">
        <f>IFERROR(INDEX(ClientInfo[Full Name], MATCH(ROWS($R$2:$R681),ClientInfo[frequency], 0)),"")</f>
        <v/>
      </c>
    </row>
    <row r="682" spans="1:19">
      <c r="A682" t="str">
        <f>TRIM(CONCATENATE(ClientInfo[[#This Row],[First Name]], " ",ClientInfo[[#This Row],[Last Name]]))</f>
        <v>Lisa &amp; Phil Adkins</v>
      </c>
      <c r="B682" t="s">
        <v>635</v>
      </c>
      <c r="C682" t="s">
        <v>636</v>
      </c>
      <c r="F682" s="52">
        <v>4108933519</v>
      </c>
      <c r="G682" s="52">
        <v>4106052605</v>
      </c>
      <c r="Q682">
        <f>--ISNUMBER(SEARCH('RC Checklist'!$G$2,A682))</f>
        <v>0</v>
      </c>
      <c r="R682" t="str">
        <f>IF(Q682=1,COUNTIF($Q$2:$Q682,1),"")</f>
        <v/>
      </c>
      <c r="S682" t="str">
        <f>IFERROR(INDEX(ClientInfo[Full Name], MATCH(ROWS($R$2:$R682),ClientInfo[frequency], 0)),"")</f>
        <v/>
      </c>
    </row>
    <row r="683" spans="1:19">
      <c r="A683" t="str">
        <f>TRIM(CONCATENATE(ClientInfo[[#This Row],[First Name]], " ",ClientInfo[[#This Row],[Last Name]]))</f>
        <v>Lisa Carvhallo</v>
      </c>
      <c r="B683" t="s">
        <v>1109</v>
      </c>
      <c r="C683" t="s">
        <v>1314</v>
      </c>
      <c r="F683" s="52" t="s">
        <v>1315</v>
      </c>
      <c r="Q683">
        <f>--ISNUMBER(SEARCH('RC Checklist'!$G$2,A683))</f>
        <v>0</v>
      </c>
      <c r="R683" t="str">
        <f>IF(Q683=1,COUNTIF($Q$2:$Q683,1),"")</f>
        <v/>
      </c>
      <c r="S683" t="str">
        <f>IFERROR(INDEX(ClientInfo[Full Name], MATCH(ROWS($R$2:$R683),ClientInfo[frequency], 0)),"")</f>
        <v/>
      </c>
    </row>
    <row r="684" spans="1:19">
      <c r="A684" t="str">
        <f>TRIM(CONCATENATE(ClientInfo[[#This Row],[First Name]], " ",ClientInfo[[#This Row],[Last Name]]))</f>
        <v>Lisa Caughey</v>
      </c>
      <c r="B684" t="s">
        <v>1109</v>
      </c>
      <c r="C684" t="s">
        <v>2216</v>
      </c>
      <c r="F684" s="52" t="s">
        <v>2217</v>
      </c>
      <c r="O684" t="s">
        <v>2218</v>
      </c>
      <c r="Q684">
        <f>--ISNUMBER(SEARCH('RC Checklist'!$G$2,A684))</f>
        <v>0</v>
      </c>
      <c r="R684" t="str">
        <f>IF(Q684=1,COUNTIF($Q$2:$Q684,1),"")</f>
        <v/>
      </c>
      <c r="S684" t="str">
        <f>IFERROR(INDEX(ClientInfo[Full Name], MATCH(ROWS($R$2:$R684),ClientInfo[frequency], 0)),"")</f>
        <v/>
      </c>
    </row>
    <row r="685" spans="1:19">
      <c r="A685" t="str">
        <f>TRIM(CONCATENATE(ClientInfo[[#This Row],[First Name]], " ",ClientInfo[[#This Row],[Last Name]]))</f>
        <v>Lisa Dayan</v>
      </c>
      <c r="B685" t="s">
        <v>1109</v>
      </c>
      <c r="C685" t="s">
        <v>1110</v>
      </c>
      <c r="D685" t="s">
        <v>1111</v>
      </c>
      <c r="F685" s="52" t="s">
        <v>1112</v>
      </c>
      <c r="G685" s="52" t="s">
        <v>1113</v>
      </c>
      <c r="H685" t="s">
        <v>1114</v>
      </c>
      <c r="Q685">
        <f>--ISNUMBER(SEARCH('RC Checklist'!$G$2,A685))</f>
        <v>0</v>
      </c>
      <c r="R685" t="str">
        <f>IF(Q685=1,COUNTIF($Q$2:$Q685,1),"")</f>
        <v/>
      </c>
      <c r="S685" t="str">
        <f>IFERROR(INDEX(ClientInfo[Full Name], MATCH(ROWS($R$2:$R685),ClientInfo[frequency], 0)),"")</f>
        <v/>
      </c>
    </row>
    <row r="686" spans="1:19">
      <c r="A686" t="str">
        <f>TRIM(CONCATENATE(ClientInfo[[#This Row],[First Name]], " ",ClientInfo[[#This Row],[Last Name]]))</f>
        <v>Lisa Edell</v>
      </c>
      <c r="B686" t="s">
        <v>1109</v>
      </c>
      <c r="C686" t="s">
        <v>2422</v>
      </c>
      <c r="F686" s="52" t="s">
        <v>2423</v>
      </c>
      <c r="G686" s="52" t="s">
        <v>2424</v>
      </c>
      <c r="H686" t="s">
        <v>2425</v>
      </c>
      <c r="O686" t="s">
        <v>2426</v>
      </c>
      <c r="Q686">
        <f>--ISNUMBER(SEARCH('RC Checklist'!$G$2,A686))</f>
        <v>0</v>
      </c>
      <c r="R686" t="str">
        <f>IF(Q686=1,COUNTIF($Q$2:$Q686,1),"")</f>
        <v/>
      </c>
      <c r="S686" t="str">
        <f>IFERROR(INDEX(ClientInfo[Full Name], MATCH(ROWS($R$2:$R686),ClientInfo[frequency], 0)),"")</f>
        <v/>
      </c>
    </row>
    <row r="687" spans="1:19">
      <c r="A687" t="str">
        <f>TRIM(CONCATENATE(ClientInfo[[#This Row],[First Name]], " ",ClientInfo[[#This Row],[Last Name]]))</f>
        <v>Lisa Lagator</v>
      </c>
      <c r="B687" t="s">
        <v>1109</v>
      </c>
      <c r="C687" t="s">
        <v>1733</v>
      </c>
      <c r="D687" t="s">
        <v>1734</v>
      </c>
      <c r="F687" s="52" t="s">
        <v>1735</v>
      </c>
      <c r="H687" t="s">
        <v>1736</v>
      </c>
      <c r="O687" t="s">
        <v>1737</v>
      </c>
      <c r="Q687">
        <f>--ISNUMBER(SEARCH('RC Checklist'!$G$2,A687))</f>
        <v>0</v>
      </c>
      <c r="R687" t="str">
        <f>IF(Q687=1,COUNTIF($Q$2:$Q687,1),"")</f>
        <v/>
      </c>
      <c r="S687" t="str">
        <f>IFERROR(INDEX(ClientInfo[Full Name], MATCH(ROWS($R$2:$R687),ClientInfo[frequency], 0)),"")</f>
        <v/>
      </c>
    </row>
    <row r="688" spans="1:19">
      <c r="A688" t="str">
        <f>TRIM(CONCATENATE(ClientInfo[[#This Row],[First Name]], " ",ClientInfo[[#This Row],[Last Name]]))</f>
        <v>Lisa Post Beam</v>
      </c>
      <c r="B688" t="s">
        <v>1109</v>
      </c>
      <c r="C688" t="s">
        <v>1269</v>
      </c>
      <c r="F688" s="52">
        <v>4103823376</v>
      </c>
      <c r="Q688">
        <f>--ISNUMBER(SEARCH('RC Checklist'!$G$2,A688))</f>
        <v>0</v>
      </c>
      <c r="R688" t="str">
        <f>IF(Q688=1,COUNTIF($Q$2:$Q688,1),"")</f>
        <v/>
      </c>
      <c r="S688" t="str">
        <f>IFERROR(INDEX(ClientInfo[Full Name], MATCH(ROWS($R$2:$R688),ClientInfo[frequency], 0)),"")</f>
        <v/>
      </c>
    </row>
    <row r="689" spans="1:19">
      <c r="A689" t="str">
        <f>TRIM(CONCATENATE(ClientInfo[[#This Row],[First Name]], " ",ClientInfo[[#This Row],[Last Name]]))</f>
        <v>Lisse</v>
      </c>
      <c r="B689" t="s">
        <v>2675</v>
      </c>
      <c r="F689" s="52" t="s">
        <v>2676</v>
      </c>
      <c r="Q689">
        <f>--ISNUMBER(SEARCH('RC Checklist'!$G$2,A689))</f>
        <v>0</v>
      </c>
      <c r="R689" t="str">
        <f>IF(Q689=1,COUNTIF($Q$2:$Q689,1),"")</f>
        <v/>
      </c>
      <c r="S689" t="str">
        <f>IFERROR(INDEX(ClientInfo[Full Name], MATCH(ROWS($R$2:$R689),ClientInfo[frequency], 0)),"")</f>
        <v/>
      </c>
    </row>
    <row r="690" spans="1:19">
      <c r="A690" t="str">
        <f>TRIM(CONCATENATE(ClientInfo[[#This Row],[First Name]], " ",ClientInfo[[#This Row],[Last Name]]))</f>
        <v>Liz</v>
      </c>
      <c r="B690" t="s">
        <v>681</v>
      </c>
      <c r="D690" t="s">
        <v>1246</v>
      </c>
      <c r="F690" s="52" t="s">
        <v>1247</v>
      </c>
      <c r="Q690">
        <f>--ISNUMBER(SEARCH('RC Checklist'!$G$2,A690))</f>
        <v>0</v>
      </c>
      <c r="R690" t="str">
        <f>IF(Q690=1,COUNTIF($Q$2:$Q690,1),"")</f>
        <v/>
      </c>
      <c r="S690" t="str">
        <f>IFERROR(INDEX(ClientInfo[Full Name], MATCH(ROWS($R$2:$R690),ClientInfo[frequency], 0)),"")</f>
        <v/>
      </c>
    </row>
    <row r="691" spans="1:19">
      <c r="A691" t="str">
        <f>TRIM(CONCATENATE(ClientInfo[[#This Row],[First Name]], " ",ClientInfo[[#This Row],[Last Name]]))</f>
        <v>Liz Dixon</v>
      </c>
      <c r="B691" t="s">
        <v>681</v>
      </c>
      <c r="C691" t="s">
        <v>1564</v>
      </c>
      <c r="D691" t="s">
        <v>1565</v>
      </c>
      <c r="Q691">
        <f>--ISNUMBER(SEARCH('RC Checklist'!$G$2,A691))</f>
        <v>0</v>
      </c>
      <c r="R691" t="str">
        <f>IF(Q691=1,COUNTIF($Q$2:$Q691,1),"")</f>
        <v/>
      </c>
      <c r="S691" t="str">
        <f>IFERROR(INDEX(ClientInfo[Full Name], MATCH(ROWS($R$2:$R691),ClientInfo[frequency], 0)),"")</f>
        <v/>
      </c>
    </row>
    <row r="692" spans="1:19">
      <c r="A692" t="str">
        <f>TRIM(CONCATENATE(ClientInfo[[#This Row],[First Name]], " ",ClientInfo[[#This Row],[Last Name]]))</f>
        <v>Liz Hembling</v>
      </c>
      <c r="B692" t="s">
        <v>681</v>
      </c>
      <c r="C692" t="s">
        <v>682</v>
      </c>
      <c r="F692" s="52" t="s">
        <v>683</v>
      </c>
      <c r="H692" t="s">
        <v>684</v>
      </c>
      <c r="O692" t="s">
        <v>685</v>
      </c>
      <c r="Q692">
        <f>--ISNUMBER(SEARCH('RC Checklist'!$G$2,A692))</f>
        <v>0</v>
      </c>
      <c r="R692" t="str">
        <f>IF(Q692=1,COUNTIF($Q$2:$Q692,1),"")</f>
        <v/>
      </c>
      <c r="S692" t="str">
        <f>IFERROR(INDEX(ClientInfo[Full Name], MATCH(ROWS($R$2:$R692),ClientInfo[frequency], 0)),"")</f>
        <v/>
      </c>
    </row>
    <row r="693" spans="1:19">
      <c r="A693" t="str">
        <f>TRIM(CONCATENATE(ClientInfo[[#This Row],[First Name]], " ",ClientInfo[[#This Row],[Last Name]]))</f>
        <v>Liz Maylor</v>
      </c>
      <c r="B693" t="s">
        <v>681</v>
      </c>
      <c r="C693" t="s">
        <v>1712</v>
      </c>
      <c r="D693" t="s">
        <v>514</v>
      </c>
      <c r="P693" t="s">
        <v>1713</v>
      </c>
      <c r="Q693">
        <f>--ISNUMBER(SEARCH('RC Checklist'!$G$2,A693))</f>
        <v>0</v>
      </c>
      <c r="R693" t="str">
        <f>IF(Q693=1,COUNTIF($Q$2:$Q693,1),"")</f>
        <v/>
      </c>
      <c r="S693" t="str">
        <f>IFERROR(INDEX(ClientInfo[Full Name], MATCH(ROWS($R$2:$R693),ClientInfo[frequency], 0)),"")</f>
        <v/>
      </c>
    </row>
    <row r="694" spans="1:19">
      <c r="A694" t="str">
        <f>TRIM(CONCATENATE(ClientInfo[[#This Row],[First Name]], " ",ClientInfo[[#This Row],[Last Name]]))</f>
        <v>Liz Schaub</v>
      </c>
      <c r="B694" t="s">
        <v>681</v>
      </c>
      <c r="C694" t="s">
        <v>790</v>
      </c>
      <c r="F694" s="52" t="s">
        <v>791</v>
      </c>
      <c r="H694" t="s">
        <v>792</v>
      </c>
      <c r="O694" t="s">
        <v>793</v>
      </c>
      <c r="Q694">
        <f>--ISNUMBER(SEARCH('RC Checklist'!$G$2,A694))</f>
        <v>0</v>
      </c>
      <c r="R694" t="str">
        <f>IF(Q694=1,COUNTIF($Q$2:$Q694,1),"")</f>
        <v/>
      </c>
      <c r="S694" t="str">
        <f>IFERROR(INDEX(ClientInfo[Full Name], MATCH(ROWS($R$2:$R694),ClientInfo[frequency], 0)),"")</f>
        <v/>
      </c>
    </row>
    <row r="695" spans="1:19">
      <c r="A695" t="str">
        <f>TRIM(CONCATENATE(ClientInfo[[#This Row],[First Name]], " ",ClientInfo[[#This Row],[Last Name]]))</f>
        <v>Loretta Letke</v>
      </c>
      <c r="B695" t="s">
        <v>2271</v>
      </c>
      <c r="C695" t="s">
        <v>2272</v>
      </c>
      <c r="F695" s="52" t="s">
        <v>2273</v>
      </c>
      <c r="Q695">
        <f>--ISNUMBER(SEARCH('RC Checklist'!$G$2,A695))</f>
        <v>0</v>
      </c>
      <c r="R695" t="str">
        <f>IF(Q695=1,COUNTIF($Q$2:$Q695,1),"")</f>
        <v/>
      </c>
      <c r="S695" t="str">
        <f>IFERROR(INDEX(ClientInfo[Full Name], MATCH(ROWS($R$2:$R695),ClientInfo[frequency], 0)),"")</f>
        <v/>
      </c>
    </row>
    <row r="696" spans="1:19">
      <c r="A696" t="str">
        <f>TRIM(CONCATENATE(ClientInfo[[#This Row],[First Name]], " ",ClientInfo[[#This Row],[Last Name]]))</f>
        <v>Lorri Burgess</v>
      </c>
      <c r="B696" t="s">
        <v>940</v>
      </c>
      <c r="C696" t="s">
        <v>941</v>
      </c>
      <c r="D696" t="s">
        <v>942</v>
      </c>
      <c r="F696" s="52" t="s">
        <v>943</v>
      </c>
      <c r="Q696">
        <f>--ISNUMBER(SEARCH('RC Checklist'!$G$2,A696))</f>
        <v>0</v>
      </c>
      <c r="R696" t="str">
        <f>IF(Q696=1,COUNTIF($Q$2:$Q696,1),"")</f>
        <v/>
      </c>
      <c r="S696" t="str">
        <f>IFERROR(INDEX(ClientInfo[Full Name], MATCH(ROWS($R$2:$R696),ClientInfo[frequency], 0)),"")</f>
        <v/>
      </c>
    </row>
    <row r="697" spans="1:19">
      <c r="A697" t="str">
        <f>TRIM(CONCATENATE(ClientInfo[[#This Row],[First Name]], " ",ClientInfo[[#This Row],[Last Name]]))</f>
        <v>Lou</v>
      </c>
      <c r="B697" t="s">
        <v>2685</v>
      </c>
      <c r="F697" s="52" t="s">
        <v>2686</v>
      </c>
      <c r="Q697">
        <f>--ISNUMBER(SEARCH('RC Checklist'!$G$2,A697))</f>
        <v>0</v>
      </c>
      <c r="R697" t="str">
        <f>IF(Q697=1,COUNTIF($Q$2:$Q697,1),"")</f>
        <v/>
      </c>
      <c r="S697" t="str">
        <f>IFERROR(INDEX(ClientInfo[Full Name], MATCH(ROWS($R$2:$R697),ClientInfo[frequency], 0)),"")</f>
        <v/>
      </c>
    </row>
    <row r="698" spans="1:19">
      <c r="A698" t="str">
        <f>TRIM(CONCATENATE(ClientInfo[[#This Row],[First Name]], " ",ClientInfo[[#This Row],[Last Name]]))</f>
        <v>Lowes</v>
      </c>
      <c r="B698" t="s">
        <v>1282</v>
      </c>
      <c r="F698" s="52">
        <v>4106838500</v>
      </c>
      <c r="Q698">
        <f>--ISNUMBER(SEARCH('RC Checklist'!$G$2,A698))</f>
        <v>0</v>
      </c>
      <c r="R698" t="str">
        <f>IF(Q698=1,COUNTIF($Q$2:$Q698,1),"")</f>
        <v/>
      </c>
      <c r="S698" t="str">
        <f>IFERROR(INDEX(ClientInfo[Full Name], MATCH(ROWS($R$2:$R698),ClientInfo[frequency], 0)),"")</f>
        <v/>
      </c>
    </row>
    <row r="699" spans="1:19">
      <c r="A699" t="str">
        <f>TRIM(CONCATENATE(ClientInfo[[#This Row],[First Name]], " ",ClientInfo[[#This Row],[Last Name]]))</f>
        <v>Lucas</v>
      </c>
      <c r="B699" t="s">
        <v>2861</v>
      </c>
      <c r="D699" t="s">
        <v>2862</v>
      </c>
      <c r="F699" s="52" t="s">
        <v>2863</v>
      </c>
      <c r="H699" t="s">
        <v>2864</v>
      </c>
      <c r="O699" t="s">
        <v>2865</v>
      </c>
      <c r="P699" t="s">
        <v>2536</v>
      </c>
      <c r="Q699">
        <f>--ISNUMBER(SEARCH('RC Checklist'!$G$2,A699))</f>
        <v>0</v>
      </c>
      <c r="R699" t="str">
        <f>IF(Q699=1,COUNTIF($Q$2:$Q699,1),"")</f>
        <v/>
      </c>
      <c r="S699" t="str">
        <f>IFERROR(INDEX(ClientInfo[Full Name], MATCH(ROWS($R$2:$R699),ClientInfo[frequency], 0)),"")</f>
        <v/>
      </c>
    </row>
    <row r="700" spans="1:19">
      <c r="A700" t="str">
        <f>TRIM(CONCATENATE(ClientInfo[[#This Row],[First Name]], " ",ClientInfo[[#This Row],[Last Name]]))</f>
        <v>Lucia</v>
      </c>
      <c r="B700" t="s">
        <v>1057</v>
      </c>
      <c r="F700" s="52">
        <v>4109841246</v>
      </c>
      <c r="Q700">
        <f>--ISNUMBER(SEARCH('RC Checklist'!$G$2,A700))</f>
        <v>0</v>
      </c>
      <c r="R700" t="str">
        <f>IF(Q700=1,COUNTIF($Q$2:$Q700,1),"")</f>
        <v/>
      </c>
      <c r="S700" t="str">
        <f>IFERROR(INDEX(ClientInfo[Full Name], MATCH(ROWS($R$2:$R700),ClientInfo[frequency], 0)),"")</f>
        <v/>
      </c>
    </row>
    <row r="701" spans="1:19">
      <c r="A701" t="str">
        <f>TRIM(CONCATENATE(ClientInfo[[#This Row],[First Name]], " ",ClientInfo[[#This Row],[Last Name]]))</f>
        <v>Luis</v>
      </c>
      <c r="B701" t="s">
        <v>1397</v>
      </c>
      <c r="D701" t="s">
        <v>1398</v>
      </c>
      <c r="F701" s="52">
        <v>13012505381</v>
      </c>
      <c r="Q701">
        <f>--ISNUMBER(SEARCH('RC Checklist'!$G$2,A701))</f>
        <v>0</v>
      </c>
      <c r="R701" t="str">
        <f>IF(Q701=1,COUNTIF($Q$2:$Q701,1),"")</f>
        <v/>
      </c>
      <c r="S701" t="str">
        <f>IFERROR(INDEX(ClientInfo[Full Name], MATCH(ROWS($R$2:$R701),ClientInfo[frequency], 0)),"")</f>
        <v/>
      </c>
    </row>
    <row r="702" spans="1:19">
      <c r="A702" t="str">
        <f>TRIM(CONCATENATE(ClientInfo[[#This Row],[First Name]], " ",ClientInfo[[#This Row],[Last Name]]))</f>
        <v>Luke Bailey</v>
      </c>
      <c r="B702" t="s">
        <v>381</v>
      </c>
      <c r="C702" t="s">
        <v>382</v>
      </c>
      <c r="Q702">
        <f>--ISNUMBER(SEARCH('RC Checklist'!$G$2,A702))</f>
        <v>0</v>
      </c>
      <c r="R702" t="str">
        <f>IF(Q702=1,COUNTIF($Q$2:$Q702,1),"")</f>
        <v/>
      </c>
      <c r="S702" t="str">
        <f>IFERROR(INDEX(ClientInfo[Full Name], MATCH(ROWS($R$2:$R702),ClientInfo[frequency], 0)),"")</f>
        <v/>
      </c>
    </row>
    <row r="703" spans="1:19">
      <c r="A703" t="str">
        <f>TRIM(CONCATENATE(ClientInfo[[#This Row],[First Name]], " ",ClientInfo[[#This Row],[Last Name]]))</f>
        <v>Lumber Liquidators</v>
      </c>
      <c r="B703" t="s">
        <v>2041</v>
      </c>
      <c r="D703" t="s">
        <v>2041</v>
      </c>
      <c r="F703" s="52" t="s">
        <v>2042</v>
      </c>
      <c r="Q703">
        <f>--ISNUMBER(SEARCH('RC Checklist'!$G$2,A703))</f>
        <v>0</v>
      </c>
      <c r="R703" t="str">
        <f>IF(Q703=1,COUNTIF($Q$2:$Q703,1),"")</f>
        <v/>
      </c>
      <c r="S703" t="str">
        <f>IFERROR(INDEX(ClientInfo[Full Name], MATCH(ROWS($R$2:$R703),ClientInfo[frequency], 0)),"")</f>
        <v/>
      </c>
    </row>
    <row r="704" spans="1:19">
      <c r="A704" t="str">
        <f>TRIM(CONCATENATE(ClientInfo[[#This Row],[First Name]], " ",ClientInfo[[#This Row],[Last Name]]))</f>
        <v>Lynn Palmers Dealer Goodies</v>
      </c>
      <c r="B704" t="s">
        <v>2815</v>
      </c>
      <c r="D704" t="s">
        <v>2815</v>
      </c>
      <c r="F704" s="52" t="s">
        <v>2816</v>
      </c>
      <c r="Q704">
        <f>--ISNUMBER(SEARCH('RC Checklist'!$G$2,A704))</f>
        <v>0</v>
      </c>
      <c r="R704" t="str">
        <f>IF(Q704=1,COUNTIF($Q$2:$Q704,1),"")</f>
        <v/>
      </c>
      <c r="S704" t="str">
        <f>IFERROR(INDEX(ClientInfo[Full Name], MATCH(ROWS($R$2:$R704),ClientInfo[frequency], 0)),"")</f>
        <v/>
      </c>
    </row>
    <row r="705" spans="1:19">
      <c r="A705" t="str">
        <f>TRIM(CONCATENATE(ClientInfo[[#This Row],[First Name]], " ",ClientInfo[[#This Row],[Last Name]]))</f>
        <v>M S International</v>
      </c>
      <c r="B705" t="s">
        <v>2908</v>
      </c>
      <c r="D705" t="s">
        <v>2908</v>
      </c>
      <c r="F705" s="52" t="s">
        <v>1739</v>
      </c>
      <c r="O705" t="s">
        <v>2909</v>
      </c>
      <c r="Q705">
        <f>--ISNUMBER(SEARCH('RC Checklist'!$G$2,A705))</f>
        <v>0</v>
      </c>
      <c r="R705" t="str">
        <f>IF(Q705=1,COUNTIF($Q$2:$Q705,1),"")</f>
        <v/>
      </c>
      <c r="S705" t="str">
        <f>IFERROR(INDEX(ClientInfo[Full Name], MATCH(ROWS($R$2:$R705),ClientInfo[frequency], 0)),"")</f>
        <v/>
      </c>
    </row>
    <row r="706" spans="1:19">
      <c r="A706" t="str">
        <f>TRIM(CONCATENATE(ClientInfo[[#This Row],[First Name]], " ",ClientInfo[[#This Row],[Last Name]]))</f>
        <v>M&amp;t Geoffrey Delamater</v>
      </c>
      <c r="B706" t="s">
        <v>898</v>
      </c>
      <c r="C706" t="s">
        <v>899</v>
      </c>
      <c r="D706" t="s">
        <v>24</v>
      </c>
      <c r="F706" s="52">
        <v>4107857457</v>
      </c>
      <c r="Q706">
        <f>--ISNUMBER(SEARCH('RC Checklist'!$G$2,A706))</f>
        <v>0</v>
      </c>
      <c r="R706" t="str">
        <f>IF(Q706=1,COUNTIF($Q$2:$Q706,1),"")</f>
        <v/>
      </c>
      <c r="S706" t="str">
        <f>IFERROR(INDEX(ClientInfo[Full Name], MATCH(ROWS($R$2:$R706),ClientInfo[frequency], 0)),"")</f>
        <v/>
      </c>
    </row>
    <row r="707" spans="1:19">
      <c r="A707" t="str">
        <f>TRIM(CONCATENATE(ClientInfo[[#This Row],[First Name]], " ",ClientInfo[[#This Row],[Last Name]]))</f>
        <v>Maggie</v>
      </c>
      <c r="B707" t="s">
        <v>1691</v>
      </c>
      <c r="F707" s="52" t="s">
        <v>1692</v>
      </c>
      <c r="Q707">
        <f>--ISNUMBER(SEARCH('RC Checklist'!$G$2,A707))</f>
        <v>0</v>
      </c>
      <c r="R707" t="str">
        <f>IF(Q707=1,COUNTIF($Q$2:$Q707,1),"")</f>
        <v/>
      </c>
      <c r="S707" t="str">
        <f>IFERROR(INDEX(ClientInfo[Full Name], MATCH(ROWS($R$2:$R707),ClientInfo[frequency], 0)),"")</f>
        <v/>
      </c>
    </row>
    <row r="708" spans="1:19">
      <c r="A708" t="str">
        <f>TRIM(CONCATENATE(ClientInfo[[#This Row],[First Name]], " ",ClientInfo[[#This Row],[Last Name]]))</f>
        <v>Mandy &amp; David Gaffney</v>
      </c>
      <c r="B708" t="s">
        <v>2900</v>
      </c>
      <c r="C708" t="s">
        <v>2901</v>
      </c>
      <c r="F708" s="52">
        <v>8286448016</v>
      </c>
      <c r="H708" t="s">
        <v>2902</v>
      </c>
      <c r="O708" t="s">
        <v>2903</v>
      </c>
      <c r="Q708">
        <f>--ISNUMBER(SEARCH('RC Checklist'!$G$2,A708))</f>
        <v>0</v>
      </c>
      <c r="R708" t="str">
        <f>IF(Q708=1,COUNTIF($Q$2:$Q708,1),"")</f>
        <v/>
      </c>
      <c r="S708" t="str">
        <f>IFERROR(INDEX(ClientInfo[Full Name], MATCH(ROWS($R$2:$R708),ClientInfo[frequency], 0)),"")</f>
        <v/>
      </c>
    </row>
    <row r="709" spans="1:19">
      <c r="A709" t="str">
        <f>TRIM(CONCATENATE(ClientInfo[[#This Row],[First Name]], " ",ClientInfo[[#This Row],[Last Name]]))</f>
        <v>Manheim</v>
      </c>
      <c r="B709" t="s">
        <v>2389</v>
      </c>
      <c r="F709" s="52">
        <v>18008222886</v>
      </c>
      <c r="O709" t="s">
        <v>2390</v>
      </c>
      <c r="Q709">
        <f>--ISNUMBER(SEARCH('RC Checklist'!$G$2,A709))</f>
        <v>0</v>
      </c>
      <c r="R709" t="str">
        <f>IF(Q709=1,COUNTIF($Q$2:$Q709,1),"")</f>
        <v/>
      </c>
      <c r="S709" t="str">
        <f>IFERROR(INDEX(ClientInfo[Full Name], MATCH(ROWS($R$2:$R709),ClientInfo[frequency], 0)),"")</f>
        <v/>
      </c>
    </row>
    <row r="710" spans="1:19">
      <c r="A710" t="str">
        <f>TRIM(CONCATENATE(ClientInfo[[#This Row],[First Name]], " ",ClientInfo[[#This Row],[Last Name]]))</f>
        <v>Marci Benda</v>
      </c>
      <c r="B710" t="s">
        <v>2579</v>
      </c>
      <c r="C710" t="s">
        <v>2580</v>
      </c>
      <c r="F710" s="52" t="s">
        <v>2581</v>
      </c>
      <c r="Q710">
        <f>--ISNUMBER(SEARCH('RC Checklist'!$G$2,A710))</f>
        <v>0</v>
      </c>
      <c r="R710" t="str">
        <f>IF(Q710=1,COUNTIF($Q$2:$Q710,1),"")</f>
        <v/>
      </c>
      <c r="S710" t="str">
        <f>IFERROR(INDEX(ClientInfo[Full Name], MATCH(ROWS($R$2:$R710),ClientInfo[frequency], 0)),"")</f>
        <v/>
      </c>
    </row>
    <row r="711" spans="1:19">
      <c r="A711" t="str">
        <f>TRIM(CONCATENATE(ClientInfo[[#This Row],[First Name]], " ",ClientInfo[[#This Row],[Last Name]]))</f>
        <v>Marcie</v>
      </c>
      <c r="B711" t="s">
        <v>2058</v>
      </c>
      <c r="Q711">
        <f>--ISNUMBER(SEARCH('RC Checklist'!$G$2,A711))</f>
        <v>0</v>
      </c>
      <c r="R711" t="str">
        <f>IF(Q711=1,COUNTIF($Q$2:$Q711,1),"")</f>
        <v/>
      </c>
      <c r="S711" t="str">
        <f>IFERROR(INDEX(ClientInfo[Full Name], MATCH(ROWS($R$2:$R711),ClientInfo[frequency], 0)),"")</f>
        <v/>
      </c>
    </row>
    <row r="712" spans="1:19">
      <c r="A712" t="str">
        <f>TRIM(CONCATENATE(ClientInfo[[#This Row],[First Name]], " ",ClientInfo[[#This Row],[Last Name]]))</f>
        <v>Marco Dry Wall Finish</v>
      </c>
      <c r="B712" t="s">
        <v>1849</v>
      </c>
      <c r="C712" t="s">
        <v>1850</v>
      </c>
      <c r="F712" s="52">
        <v>2156871926</v>
      </c>
      <c r="Q712">
        <f>--ISNUMBER(SEARCH('RC Checklist'!$G$2,A712))</f>
        <v>0</v>
      </c>
      <c r="R712" t="str">
        <f>IF(Q712=1,COUNTIF($Q$2:$Q712,1),"")</f>
        <v/>
      </c>
      <c r="S712" t="str">
        <f>IFERROR(INDEX(ClientInfo[Full Name], MATCH(ROWS($R$2:$R712),ClientInfo[frequency], 0)),"")</f>
        <v/>
      </c>
    </row>
    <row r="713" spans="1:19">
      <c r="A713" t="str">
        <f>TRIM(CONCATENATE(ClientInfo[[#This Row],[First Name]], " ",ClientInfo[[#This Row],[Last Name]]))</f>
        <v>Margaret Tabb</v>
      </c>
      <c r="B713" t="s">
        <v>111</v>
      </c>
      <c r="E713" t="s">
        <v>112</v>
      </c>
      <c r="F713" s="52">
        <v>4434711218</v>
      </c>
      <c r="G713" s="52">
        <v>4436046342</v>
      </c>
      <c r="H713" t="s">
        <v>113</v>
      </c>
      <c r="P713" t="s">
        <v>114</v>
      </c>
      <c r="Q713">
        <f>--ISNUMBER(SEARCH('RC Checklist'!$G$2,A713))</f>
        <v>0</v>
      </c>
      <c r="R713" t="str">
        <f>IF(Q713=1,COUNTIF($Q$2:$Q713,1),"")</f>
        <v/>
      </c>
      <c r="S713" t="str">
        <f>IFERROR(INDEX(ClientInfo[Full Name], MATCH(ROWS($R$2:$R713),ClientInfo[frequency], 0)),"")</f>
        <v/>
      </c>
    </row>
    <row r="714" spans="1:19">
      <c r="A714" t="str">
        <f>TRIM(CONCATENATE(ClientInfo[[#This Row],[First Name]], " ",ClientInfo[[#This Row],[Last Name]]))</f>
        <v>Margaret Tabb</v>
      </c>
      <c r="B714" t="s">
        <v>111</v>
      </c>
      <c r="E714" t="s">
        <v>112</v>
      </c>
      <c r="F714" s="52">
        <v>4434711218</v>
      </c>
      <c r="G714" s="52">
        <v>4436046342</v>
      </c>
      <c r="H714" t="s">
        <v>113</v>
      </c>
      <c r="P714" t="s">
        <v>114</v>
      </c>
      <c r="Q714">
        <f>--ISNUMBER(SEARCH('RC Checklist'!$G$2,A714))</f>
        <v>0</v>
      </c>
      <c r="R714" t="str">
        <f>IF(Q714=1,COUNTIF($Q$2:$Q714,1),"")</f>
        <v/>
      </c>
      <c r="S714" t="str">
        <f>IFERROR(INDEX(ClientInfo[Full Name], MATCH(ROWS($R$2:$R714),ClientInfo[frequency], 0)),"")</f>
        <v/>
      </c>
    </row>
    <row r="715" spans="1:19">
      <c r="A715" t="str">
        <f>TRIM(CONCATENATE(ClientInfo[[#This Row],[First Name]], " ",ClientInfo[[#This Row],[Last Name]]))</f>
        <v>Margie</v>
      </c>
      <c r="B715" t="s">
        <v>1199</v>
      </c>
      <c r="F715" s="52" t="s">
        <v>1200</v>
      </c>
      <c r="Q715">
        <f>--ISNUMBER(SEARCH('RC Checklist'!$G$2,A715))</f>
        <v>0</v>
      </c>
      <c r="R715" t="str">
        <f>IF(Q715=1,COUNTIF($Q$2:$Q715,1),"")</f>
        <v/>
      </c>
      <c r="S715" t="str">
        <f>IFERROR(INDEX(ClientInfo[Full Name], MATCH(ROWS($R$2:$R715),ClientInfo[frequency], 0)),"")</f>
        <v/>
      </c>
    </row>
    <row r="716" spans="1:19">
      <c r="A716" t="str">
        <f>TRIM(CONCATENATE(ClientInfo[[#This Row],[First Name]], " ",ClientInfo[[#This Row],[Last Name]]))</f>
        <v>Maria's Sub Shop</v>
      </c>
      <c r="B716" t="s">
        <v>1410</v>
      </c>
      <c r="D716" t="s">
        <v>1410</v>
      </c>
      <c r="F716" s="52" t="s">
        <v>1411</v>
      </c>
      <c r="Q716">
        <f>--ISNUMBER(SEARCH('RC Checklist'!$G$2,A716))</f>
        <v>0</v>
      </c>
      <c r="R716" t="str">
        <f>IF(Q716=1,COUNTIF($Q$2:$Q716,1),"")</f>
        <v/>
      </c>
      <c r="S716" t="str">
        <f>IFERROR(INDEX(ClientInfo[Full Name], MATCH(ROWS($R$2:$R716),ClientInfo[frequency], 0)),"")</f>
        <v/>
      </c>
    </row>
    <row r="717" spans="1:19">
      <c r="A717" t="str">
        <f>TRIM(CONCATENATE(ClientInfo[[#This Row],[First Name]], " ",ClientInfo[[#This Row],[Last Name]]))</f>
        <v>Marie Mcbride</v>
      </c>
      <c r="B717" t="s">
        <v>853</v>
      </c>
      <c r="C717" t="s">
        <v>854</v>
      </c>
      <c r="F717" s="52" t="s">
        <v>855</v>
      </c>
      <c r="Q717">
        <f>--ISNUMBER(SEARCH('RC Checklist'!$G$2,A717))</f>
        <v>0</v>
      </c>
      <c r="R717" t="str">
        <f>IF(Q717=1,COUNTIF($Q$2:$Q717,1),"")</f>
        <v/>
      </c>
      <c r="S717" t="str">
        <f>IFERROR(INDEX(ClientInfo[Full Name], MATCH(ROWS($R$2:$R717),ClientInfo[frequency], 0)),"")</f>
        <v/>
      </c>
    </row>
    <row r="718" spans="1:19">
      <c r="A718" t="str">
        <f>TRIM(CONCATENATE(ClientInfo[[#This Row],[First Name]], " ",ClientInfo[[#This Row],[Last Name]]))</f>
        <v>Mario</v>
      </c>
      <c r="B718" t="s">
        <v>2072</v>
      </c>
      <c r="D718" t="s">
        <v>2073</v>
      </c>
      <c r="F718" s="52">
        <v>4435640944</v>
      </c>
      <c r="Q718">
        <f>--ISNUMBER(SEARCH('RC Checklist'!$G$2,A718))</f>
        <v>0</v>
      </c>
      <c r="R718" t="str">
        <f>IF(Q718=1,COUNTIF($Q$2:$Q718,1),"")</f>
        <v/>
      </c>
      <c r="S718" t="str">
        <f>IFERROR(INDEX(ClientInfo[Full Name], MATCH(ROWS($R$2:$R718),ClientInfo[frequency], 0)),"")</f>
        <v/>
      </c>
    </row>
    <row r="719" spans="1:19">
      <c r="A719" t="str">
        <f>TRIM(CONCATENATE(ClientInfo[[#This Row],[First Name]], " ",ClientInfo[[#This Row],[Last Name]]))</f>
        <v>Marita Mike</v>
      </c>
      <c r="B719" t="s">
        <v>1070</v>
      </c>
      <c r="C719" t="s">
        <v>24</v>
      </c>
      <c r="F719" s="52" t="s">
        <v>1071</v>
      </c>
      <c r="H719" t="s">
        <v>1072</v>
      </c>
      <c r="Q719">
        <f>--ISNUMBER(SEARCH('RC Checklist'!$G$2,A719))</f>
        <v>0</v>
      </c>
      <c r="R719" t="str">
        <f>IF(Q719=1,COUNTIF($Q$2:$Q719,1),"")</f>
        <v/>
      </c>
      <c r="S719" t="str">
        <f>IFERROR(INDEX(ClientInfo[Full Name], MATCH(ROWS($R$2:$R719),ClientInfo[frequency], 0)),"")</f>
        <v/>
      </c>
    </row>
    <row r="720" spans="1:19">
      <c r="A720" t="str">
        <f>TRIM(CONCATENATE(ClientInfo[[#This Row],[First Name]], " ",ClientInfo[[#This Row],[Last Name]]))</f>
        <v>Mark</v>
      </c>
      <c r="B720" t="s">
        <v>289</v>
      </c>
      <c r="D720" t="s">
        <v>1145</v>
      </c>
      <c r="Q720">
        <f>--ISNUMBER(SEARCH('RC Checklist'!$G$2,A720))</f>
        <v>0</v>
      </c>
      <c r="R720" t="str">
        <f>IF(Q720=1,COUNTIF($Q$2:$Q720,1),"")</f>
        <v/>
      </c>
      <c r="S720" t="str">
        <f>IFERROR(INDEX(ClientInfo[Full Name], MATCH(ROWS($R$2:$R720),ClientInfo[frequency], 0)),"")</f>
        <v/>
      </c>
    </row>
    <row r="721" spans="1:19">
      <c r="A721" t="str">
        <f>TRIM(CONCATENATE(ClientInfo[[#This Row],[First Name]], " ",ClientInfo[[#This Row],[Last Name]]))</f>
        <v>Mark &amp; Terisa Menusan</v>
      </c>
      <c r="B721" t="s">
        <v>1938</v>
      </c>
      <c r="C721" t="s">
        <v>1939</v>
      </c>
      <c r="F721" s="52" t="s">
        <v>1940</v>
      </c>
      <c r="Q721">
        <f>--ISNUMBER(SEARCH('RC Checklist'!$G$2,A721))</f>
        <v>0</v>
      </c>
      <c r="R721" t="str">
        <f>IF(Q721=1,COUNTIF($Q$2:$Q721,1),"")</f>
        <v/>
      </c>
      <c r="S721" t="str">
        <f>IFERROR(INDEX(ClientInfo[Full Name], MATCH(ROWS($R$2:$R721),ClientInfo[frequency], 0)),"")</f>
        <v/>
      </c>
    </row>
    <row r="722" spans="1:19">
      <c r="A722" t="str">
        <f>TRIM(CONCATENATE(ClientInfo[[#This Row],[First Name]], " ",ClientInfo[[#This Row],[Last Name]]))</f>
        <v>Mark Ball</v>
      </c>
      <c r="B722" t="s">
        <v>289</v>
      </c>
      <c r="C722" t="s">
        <v>2651</v>
      </c>
      <c r="D722" t="s">
        <v>2652</v>
      </c>
      <c r="F722" s="52">
        <v>3047896879</v>
      </c>
      <c r="Q722">
        <f>--ISNUMBER(SEARCH('RC Checklist'!$G$2,A722))</f>
        <v>0</v>
      </c>
      <c r="R722" t="str">
        <f>IF(Q722=1,COUNTIF($Q$2:$Q722,1),"")</f>
        <v/>
      </c>
      <c r="S722" t="str">
        <f>IFERROR(INDEX(ClientInfo[Full Name], MATCH(ROWS($R$2:$R722),ClientInfo[frequency], 0)),"")</f>
        <v/>
      </c>
    </row>
    <row r="723" spans="1:19">
      <c r="A723" t="str">
        <f>TRIM(CONCATENATE(ClientInfo[[#This Row],[First Name]], " ",ClientInfo[[#This Row],[Last Name]]))</f>
        <v>Mark Combs</v>
      </c>
      <c r="B723" t="s">
        <v>289</v>
      </c>
      <c r="C723" t="s">
        <v>1816</v>
      </c>
      <c r="D723" t="s">
        <v>1817</v>
      </c>
      <c r="E723" t="s">
        <v>1818</v>
      </c>
      <c r="F723" s="52">
        <v>4432509961</v>
      </c>
      <c r="G723" s="52">
        <v>4435358586</v>
      </c>
      <c r="H723" t="s">
        <v>1819</v>
      </c>
      <c r="O723" t="s">
        <v>2965</v>
      </c>
      <c r="Q723">
        <f>--ISNUMBER(SEARCH('RC Checklist'!$G$2,A723))</f>
        <v>0</v>
      </c>
      <c r="R723" t="str">
        <f>IF(Q723=1,COUNTIF($Q$2:$Q723,1),"")</f>
        <v/>
      </c>
      <c r="S723" t="str">
        <f>IFERROR(INDEX(ClientInfo[Full Name], MATCH(ROWS($R$2:$R723),ClientInfo[frequency], 0)),"")</f>
        <v/>
      </c>
    </row>
    <row r="724" spans="1:19">
      <c r="A724" t="str">
        <f>TRIM(CONCATENATE(ClientInfo[[#This Row],[First Name]], " ",ClientInfo[[#This Row],[Last Name]]))</f>
        <v>Mark Combs</v>
      </c>
      <c r="B724" t="s">
        <v>289</v>
      </c>
      <c r="C724" t="s">
        <v>1816</v>
      </c>
      <c r="D724" t="s">
        <v>1817</v>
      </c>
      <c r="E724" t="s">
        <v>1818</v>
      </c>
      <c r="F724" s="52">
        <v>4432509961</v>
      </c>
      <c r="G724" s="52">
        <v>4435358586</v>
      </c>
      <c r="H724" t="s">
        <v>1819</v>
      </c>
      <c r="O724" t="s">
        <v>2966</v>
      </c>
      <c r="Q724">
        <f>--ISNUMBER(SEARCH('RC Checklist'!$G$2,A724))</f>
        <v>0</v>
      </c>
      <c r="R724" t="str">
        <f>IF(Q724=1,COUNTIF($Q$2:$Q724,1),"")</f>
        <v/>
      </c>
      <c r="S724" t="str">
        <f>IFERROR(INDEX(ClientInfo[Full Name], MATCH(ROWS($R$2:$R724),ClientInfo[frequency], 0)),"")</f>
        <v/>
      </c>
    </row>
    <row r="725" spans="1:19">
      <c r="A725" t="str">
        <f>TRIM(CONCATENATE(ClientInfo[[#This Row],[First Name]], " ",ClientInfo[[#This Row],[Last Name]]))</f>
        <v>Mark Franklin</v>
      </c>
      <c r="B725" t="s">
        <v>289</v>
      </c>
      <c r="C725" t="s">
        <v>1659</v>
      </c>
      <c r="F725" s="52" t="s">
        <v>2052</v>
      </c>
      <c r="P725" t="s">
        <v>2053</v>
      </c>
      <c r="Q725">
        <f>--ISNUMBER(SEARCH('RC Checklist'!$G$2,A725))</f>
        <v>0</v>
      </c>
      <c r="R725" t="str">
        <f>IF(Q725=1,COUNTIF($Q$2:$Q725,1),"")</f>
        <v/>
      </c>
      <c r="S725" t="str">
        <f>IFERROR(INDEX(ClientInfo[Full Name], MATCH(ROWS($R$2:$R725),ClientInfo[frequency], 0)),"")</f>
        <v/>
      </c>
    </row>
    <row r="726" spans="1:19">
      <c r="A726" t="str">
        <f>TRIM(CONCATENATE(ClientInfo[[#This Row],[First Name]], " ",ClientInfo[[#This Row],[Last Name]]))</f>
        <v>Mark Gibbons</v>
      </c>
      <c r="B726" t="s">
        <v>289</v>
      </c>
      <c r="C726" t="s">
        <v>290</v>
      </c>
      <c r="F726" s="52">
        <v>4432505731</v>
      </c>
      <c r="Q726">
        <f>--ISNUMBER(SEARCH('RC Checklist'!$G$2,A726))</f>
        <v>0</v>
      </c>
      <c r="R726" t="str">
        <f>IF(Q726=1,COUNTIF($Q$2:$Q726,1),"")</f>
        <v/>
      </c>
      <c r="S726" t="str">
        <f>IFERROR(INDEX(ClientInfo[Full Name], MATCH(ROWS($R$2:$R726),ClientInfo[frequency], 0)),"")</f>
        <v/>
      </c>
    </row>
    <row r="727" spans="1:19">
      <c r="A727" t="str">
        <f>TRIM(CONCATENATE(ClientInfo[[#This Row],[First Name]], " ",ClientInfo[[#This Row],[Last Name]]))</f>
        <v>Mark Haviland</v>
      </c>
      <c r="B727" t="s">
        <v>289</v>
      </c>
      <c r="C727" t="s">
        <v>467</v>
      </c>
      <c r="F727" s="52">
        <v>4103822622</v>
      </c>
      <c r="Q727">
        <f>--ISNUMBER(SEARCH('RC Checklist'!$G$2,A727))</f>
        <v>0</v>
      </c>
      <c r="R727" t="str">
        <f>IF(Q727=1,COUNTIF($Q$2:$Q727,1),"")</f>
        <v/>
      </c>
      <c r="S727" t="str">
        <f>IFERROR(INDEX(ClientInfo[Full Name], MATCH(ROWS($R$2:$R727),ClientInfo[frequency], 0)),"")</f>
        <v/>
      </c>
    </row>
    <row r="728" spans="1:19">
      <c r="A728" t="str">
        <f>TRIM(CONCATENATE(ClientInfo[[#This Row],[First Name]], " ",ClientInfo[[#This Row],[Last Name]]))</f>
        <v>Mark Weiss</v>
      </c>
      <c r="B728" t="s">
        <v>289</v>
      </c>
      <c r="C728" t="s">
        <v>2282</v>
      </c>
      <c r="F728" s="52" t="s">
        <v>2283</v>
      </c>
      <c r="Q728">
        <f>--ISNUMBER(SEARCH('RC Checklist'!$G$2,A728))</f>
        <v>0</v>
      </c>
      <c r="R728" t="str">
        <f>IF(Q728=1,COUNTIF($Q$2:$Q728,1),"")</f>
        <v/>
      </c>
      <c r="S728" t="str">
        <f>IFERROR(INDEX(ClientInfo[Full Name], MATCH(ROWS($R$2:$R728),ClientInfo[frequency], 0)),"")</f>
        <v/>
      </c>
    </row>
    <row r="729" spans="1:19">
      <c r="A729" t="str">
        <f>TRIM(CONCATENATE(ClientInfo[[#This Row],[First Name]], " ",ClientInfo[[#This Row],[Last Name]]))</f>
        <v>Marlon</v>
      </c>
      <c r="B729" t="s">
        <v>906</v>
      </c>
      <c r="F729" s="52" t="s">
        <v>907</v>
      </c>
      <c r="Q729">
        <f>--ISNUMBER(SEARCH('RC Checklist'!$G$2,A729))</f>
        <v>0</v>
      </c>
      <c r="R729" t="str">
        <f>IF(Q729=1,COUNTIF($Q$2:$Q729,1),"")</f>
        <v/>
      </c>
      <c r="S729" t="str">
        <f>IFERROR(INDEX(ClientInfo[Full Name], MATCH(ROWS($R$2:$R729),ClientInfo[frequency], 0)),"")</f>
        <v/>
      </c>
    </row>
    <row r="730" spans="1:19">
      <c r="A730" t="str">
        <f>TRIM(CONCATENATE(ClientInfo[[#This Row],[First Name]], " ",ClientInfo[[#This Row],[Last Name]]))</f>
        <v>Marti Henry</v>
      </c>
      <c r="B730" t="s">
        <v>182</v>
      </c>
      <c r="C730" t="s">
        <v>183</v>
      </c>
      <c r="D730" t="s">
        <v>178</v>
      </c>
      <c r="E730" t="s">
        <v>184</v>
      </c>
      <c r="F730" s="52">
        <v>2404182169</v>
      </c>
      <c r="G730" s="52">
        <v>3013099600</v>
      </c>
      <c r="H730" t="s">
        <v>185</v>
      </c>
      <c r="O730" t="s">
        <v>181</v>
      </c>
      <c r="Q730">
        <f>--ISNUMBER(SEARCH('RC Checklist'!$G$2,A730))</f>
        <v>0</v>
      </c>
      <c r="R730" t="str">
        <f>IF(Q730=1,COUNTIF($Q$2:$Q730,1),"")</f>
        <v/>
      </c>
      <c r="S730" t="str">
        <f>IFERROR(INDEX(ClientInfo[Full Name], MATCH(ROWS($R$2:$R730),ClientInfo[frequency], 0)),"")</f>
        <v/>
      </c>
    </row>
    <row r="731" spans="1:19">
      <c r="A731" t="str">
        <f>TRIM(CONCATENATE(ClientInfo[[#This Row],[First Name]], " ",ClientInfo[[#This Row],[Last Name]]))</f>
        <v>Martin Villanuvea</v>
      </c>
      <c r="B731" t="s">
        <v>712</v>
      </c>
      <c r="C731" t="s">
        <v>1595</v>
      </c>
      <c r="F731" s="52" t="s">
        <v>1596</v>
      </c>
      <c r="Q731">
        <f>--ISNUMBER(SEARCH('RC Checklist'!$G$2,A731))</f>
        <v>0</v>
      </c>
      <c r="R731" t="str">
        <f>IF(Q731=1,COUNTIF($Q$2:$Q731,1),"")</f>
        <v/>
      </c>
      <c r="S731" t="str">
        <f>IFERROR(INDEX(ClientInfo[Full Name], MATCH(ROWS($R$2:$R731),ClientInfo[frequency], 0)),"")</f>
        <v/>
      </c>
    </row>
    <row r="732" spans="1:19">
      <c r="A732" t="str">
        <f>TRIM(CONCATENATE(ClientInfo[[#This Row],[First Name]], " ",ClientInfo[[#This Row],[Last Name]]))</f>
        <v>Marty &amp; Nancy Wolf</v>
      </c>
      <c r="B732" t="s">
        <v>407</v>
      </c>
      <c r="C732" t="s">
        <v>408</v>
      </c>
      <c r="F732" s="52">
        <v>4108797650</v>
      </c>
      <c r="G732" s="52">
        <v>4439107630</v>
      </c>
      <c r="O732" t="s">
        <v>409</v>
      </c>
      <c r="Q732">
        <f>--ISNUMBER(SEARCH('RC Checklist'!$G$2,A732))</f>
        <v>0</v>
      </c>
      <c r="R732" t="str">
        <f>IF(Q732=1,COUNTIF($Q$2:$Q732,1),"")</f>
        <v/>
      </c>
      <c r="S732" t="str">
        <f>IFERROR(INDEX(ClientInfo[Full Name], MATCH(ROWS($R$2:$R732),ClientInfo[frequency], 0)),"")</f>
        <v/>
      </c>
    </row>
    <row r="733" spans="1:19">
      <c r="A733" t="str">
        <f>TRIM(CONCATENATE(ClientInfo[[#This Row],[First Name]], " ",ClientInfo[[#This Row],[Last Name]]))</f>
        <v>Marty's Paint Supplies</v>
      </c>
      <c r="B733" t="s">
        <v>369</v>
      </c>
      <c r="D733" t="s">
        <v>369</v>
      </c>
      <c r="Q733">
        <f>--ISNUMBER(SEARCH('RC Checklist'!$G$2,A733))</f>
        <v>0</v>
      </c>
      <c r="R733" t="str">
        <f>IF(Q733=1,COUNTIF($Q$2:$Q733,1),"")</f>
        <v/>
      </c>
      <c r="S733" t="str">
        <f>IFERROR(INDEX(ClientInfo[Full Name], MATCH(ROWS($R$2:$R733),ClientInfo[frequency], 0)),"")</f>
        <v/>
      </c>
    </row>
    <row r="734" spans="1:19">
      <c r="A734" t="str">
        <f>TRIM(CONCATENATE(ClientInfo[[#This Row],[First Name]], " ",ClientInfo[[#This Row],[Last Name]]))</f>
        <v>Mary</v>
      </c>
      <c r="B734" t="s">
        <v>746</v>
      </c>
      <c r="F734" s="52">
        <v>4103080708</v>
      </c>
      <c r="Q734">
        <f>--ISNUMBER(SEARCH('RC Checklist'!$G$2,A734))</f>
        <v>0</v>
      </c>
      <c r="R734" t="str">
        <f>IF(Q734=1,COUNTIF($Q$2:$Q734,1),"")</f>
        <v/>
      </c>
      <c r="S734" t="str">
        <f>IFERROR(INDEX(ClientInfo[Full Name], MATCH(ROWS($R$2:$R734),ClientInfo[frequency], 0)),"")</f>
        <v/>
      </c>
    </row>
    <row r="735" spans="1:19">
      <c r="A735" t="str">
        <f>TRIM(CONCATENATE(ClientInfo[[#This Row],[First Name]], " ",ClientInfo[[#This Row],[Last Name]]))</f>
        <v>Mary Bolgiano</v>
      </c>
      <c r="B735" t="s">
        <v>746</v>
      </c>
      <c r="C735" t="s">
        <v>1777</v>
      </c>
      <c r="D735" t="s">
        <v>1778</v>
      </c>
      <c r="F735" s="52" t="s">
        <v>1779</v>
      </c>
      <c r="Q735">
        <f>--ISNUMBER(SEARCH('RC Checklist'!$G$2,A735))</f>
        <v>0</v>
      </c>
      <c r="R735" t="str">
        <f>IF(Q735=1,COUNTIF($Q$2:$Q735,1),"")</f>
        <v/>
      </c>
      <c r="S735" t="str">
        <f>IFERROR(INDEX(ClientInfo[Full Name], MATCH(ROWS($R$2:$R735),ClientInfo[frequency], 0)),"")</f>
        <v/>
      </c>
    </row>
    <row r="736" spans="1:19">
      <c r="A736" t="str">
        <f>TRIM(CONCATENATE(ClientInfo[[#This Row],[First Name]], " ",ClientInfo[[#This Row],[Last Name]]))</f>
        <v>Mary Jane &amp; George Franklin</v>
      </c>
      <c r="B736" t="s">
        <v>1658</v>
      </c>
      <c r="C736" t="s">
        <v>1659</v>
      </c>
      <c r="F736" s="52" t="s">
        <v>1660</v>
      </c>
      <c r="G736" s="52">
        <v>4105923742</v>
      </c>
      <c r="H736" t="s">
        <v>1661</v>
      </c>
      <c r="O736" t="s">
        <v>1662</v>
      </c>
      <c r="Q736">
        <f>--ISNUMBER(SEARCH('RC Checklist'!$G$2,A736))</f>
        <v>0</v>
      </c>
      <c r="R736" t="str">
        <f>IF(Q736=1,COUNTIF($Q$2:$Q736,1),"")</f>
        <v/>
      </c>
      <c r="S736" t="str">
        <f>IFERROR(INDEX(ClientInfo[Full Name], MATCH(ROWS($R$2:$R736),ClientInfo[frequency], 0)),"")</f>
        <v/>
      </c>
    </row>
    <row r="737" spans="1:19">
      <c r="A737" t="str">
        <f>TRIM(CONCATENATE(ClientInfo[[#This Row],[First Name]], " ",ClientInfo[[#This Row],[Last Name]]))</f>
        <v>Mary Lowman</v>
      </c>
      <c r="B737" t="s">
        <v>746</v>
      </c>
      <c r="C737" t="s">
        <v>747</v>
      </c>
      <c r="F737" s="52" t="s">
        <v>748</v>
      </c>
      <c r="Q737">
        <f>--ISNUMBER(SEARCH('RC Checklist'!$G$2,A737))</f>
        <v>0</v>
      </c>
      <c r="R737" t="str">
        <f>IF(Q737=1,COUNTIF($Q$2:$Q737,1),"")</f>
        <v/>
      </c>
      <c r="S737" t="str">
        <f>IFERROR(INDEX(ClientInfo[Full Name], MATCH(ROWS($R$2:$R737),ClientInfo[frequency], 0)),"")</f>
        <v/>
      </c>
    </row>
    <row r="738" spans="1:19">
      <c r="A738" t="str">
        <f>TRIM(CONCATENATE(ClientInfo[[#This Row],[First Name]], " ",ClientInfo[[#This Row],[Last Name]]))</f>
        <v>Mary Walker</v>
      </c>
      <c r="B738" t="s">
        <v>746</v>
      </c>
      <c r="C738" t="s">
        <v>271</v>
      </c>
      <c r="F738" s="52" t="s">
        <v>2013</v>
      </c>
      <c r="Q738">
        <f>--ISNUMBER(SEARCH('RC Checklist'!$G$2,A738))</f>
        <v>0</v>
      </c>
      <c r="R738" t="str">
        <f>IF(Q738=1,COUNTIF($Q$2:$Q738,1),"")</f>
        <v/>
      </c>
      <c r="S738" t="str">
        <f>IFERROR(INDEX(ClientInfo[Full Name], MATCH(ROWS($R$2:$R738),ClientInfo[frequency], 0)),"")</f>
        <v/>
      </c>
    </row>
    <row r="739" spans="1:19">
      <c r="A739" t="str">
        <f>TRIM(CONCATENATE(ClientInfo[[#This Row],[First Name]], " ",ClientInfo[[#This Row],[Last Name]]))</f>
        <v>Mary warren &amp; James Scholtes Warren</v>
      </c>
      <c r="B739" t="s">
        <v>2866</v>
      </c>
      <c r="C739" t="s">
        <v>1894</v>
      </c>
      <c r="O739" t="s">
        <v>2867</v>
      </c>
      <c r="Q739">
        <f>--ISNUMBER(SEARCH('RC Checklist'!$G$2,A739))</f>
        <v>0</v>
      </c>
      <c r="R739" t="str">
        <f>IF(Q739=1,COUNTIF($Q$2:$Q739,1),"")</f>
        <v/>
      </c>
      <c r="S739" t="str">
        <f>IFERROR(INDEX(ClientInfo[Full Name], MATCH(ROWS($R$2:$R739),ClientInfo[frequency], 0)),"")</f>
        <v/>
      </c>
    </row>
    <row r="740" spans="1:19">
      <c r="A740" t="str">
        <f>TRIM(CONCATENATE(ClientInfo[[#This Row],[First Name]], " ",ClientInfo[[#This Row],[Last Name]]))</f>
        <v>Mary Yiassemides</v>
      </c>
      <c r="B740" t="s">
        <v>746</v>
      </c>
      <c r="C740" t="s">
        <v>2026</v>
      </c>
      <c r="F740" s="52">
        <v>4434176060</v>
      </c>
      <c r="H740" t="s">
        <v>2027</v>
      </c>
      <c r="O740" t="s">
        <v>2028</v>
      </c>
      <c r="Q740">
        <f>--ISNUMBER(SEARCH('RC Checklist'!$G$2,A740))</f>
        <v>0</v>
      </c>
      <c r="R740" t="str">
        <f>IF(Q740=1,COUNTIF($Q$2:$Q740,1),"")</f>
        <v/>
      </c>
      <c r="S740" t="str">
        <f>IFERROR(INDEX(ClientInfo[Full Name], MATCH(ROWS($R$2:$R740),ClientInfo[frequency], 0)),"")</f>
        <v/>
      </c>
    </row>
    <row r="741" spans="1:19">
      <c r="A741" t="str">
        <f>TRIM(CONCATENATE(ClientInfo[[#This Row],[First Name]], " ",ClientInfo[[#This Row],[Last Name]]))</f>
        <v>MaryCarol Lamb</v>
      </c>
      <c r="B741" t="s">
        <v>147</v>
      </c>
      <c r="C741" t="s">
        <v>148</v>
      </c>
      <c r="E741" t="s">
        <v>149</v>
      </c>
      <c r="F741" s="52">
        <v>4102520877</v>
      </c>
      <c r="H741" t="s">
        <v>150</v>
      </c>
      <c r="O741" t="s">
        <v>151</v>
      </c>
      <c r="Q741">
        <f>--ISNUMBER(SEARCH('RC Checklist'!$G$2,A741))</f>
        <v>0</v>
      </c>
      <c r="R741" t="str">
        <f>IF(Q741=1,COUNTIF($Q$2:$Q741,1),"")</f>
        <v/>
      </c>
      <c r="S741" t="str">
        <f>IFERROR(INDEX(ClientInfo[Full Name], MATCH(ROWS($R$2:$R741),ClientInfo[frequency], 0)),"")</f>
        <v/>
      </c>
    </row>
    <row r="742" spans="1:19">
      <c r="A742" t="str">
        <f>TRIM(CONCATENATE(ClientInfo[[#This Row],[First Name]], " ",ClientInfo[[#This Row],[Last Name]]))</f>
        <v>Maryellen</v>
      </c>
      <c r="B742" t="s">
        <v>345</v>
      </c>
      <c r="F742" s="52">
        <v>7034260649</v>
      </c>
      <c r="Q742">
        <f>--ISNUMBER(SEARCH('RC Checklist'!$G$2,A742))</f>
        <v>0</v>
      </c>
      <c r="R742" t="str">
        <f>IF(Q742=1,COUNTIF($Q$2:$Q742,1),"")</f>
        <v/>
      </c>
      <c r="S742" t="str">
        <f>IFERROR(INDEX(ClientInfo[Full Name], MATCH(ROWS($R$2:$R742),ClientInfo[frequency], 0)),"")</f>
        <v/>
      </c>
    </row>
    <row r="743" spans="1:19">
      <c r="A743" t="str">
        <f>TRIM(CONCATENATE(ClientInfo[[#This Row],[First Name]], " ",ClientInfo[[#This Row],[Last Name]]))</f>
        <v>Maryfrancis</v>
      </c>
      <c r="B743" t="s">
        <v>2783</v>
      </c>
      <c r="F743" s="52" t="s">
        <v>2784</v>
      </c>
      <c r="H743" t="s">
        <v>2785</v>
      </c>
      <c r="Q743">
        <f>--ISNUMBER(SEARCH('RC Checklist'!$G$2,A743))</f>
        <v>0</v>
      </c>
      <c r="R743" t="str">
        <f>IF(Q743=1,COUNTIF($Q$2:$Q743,1),"")</f>
        <v/>
      </c>
      <c r="S743" t="str">
        <f>IFERROR(INDEX(ClientInfo[Full Name], MATCH(ROWS($R$2:$R743),ClientInfo[frequency], 0)),"")</f>
        <v/>
      </c>
    </row>
    <row r="744" spans="1:19">
      <c r="A744" t="str">
        <f>TRIM(CONCATENATE(ClientInfo[[#This Row],[First Name]], " ",ClientInfo[[#This Row],[Last Name]]))</f>
        <v>Maryland Concrete</v>
      </c>
      <c r="B744" t="s">
        <v>542</v>
      </c>
      <c r="D744" t="s">
        <v>542</v>
      </c>
      <c r="F744" s="52" t="s">
        <v>2195</v>
      </c>
      <c r="Q744">
        <f>--ISNUMBER(SEARCH('RC Checklist'!$G$2,A744))</f>
        <v>0</v>
      </c>
      <c r="R744" t="str">
        <f>IF(Q744=1,COUNTIF($Q$2:$Q744,1),"")</f>
        <v/>
      </c>
      <c r="S744" t="str">
        <f>IFERROR(INDEX(ClientInfo[Full Name], MATCH(ROWS($R$2:$R744),ClientInfo[frequency], 0)),"")</f>
        <v/>
      </c>
    </row>
    <row r="745" spans="1:19">
      <c r="A745" t="str">
        <f>TRIM(CONCATENATE(ClientInfo[[#This Row],[First Name]], " ",ClientInfo[[#This Row],[Last Name]]))</f>
        <v>Marylinda morgan</v>
      </c>
      <c r="B745" t="s">
        <v>1405</v>
      </c>
      <c r="C745" t="s">
        <v>1406</v>
      </c>
      <c r="F745" s="52">
        <v>4438657562</v>
      </c>
      <c r="Q745">
        <f>--ISNUMBER(SEARCH('RC Checklist'!$G$2,A745))</f>
        <v>0</v>
      </c>
      <c r="R745" t="str">
        <f>IF(Q745=1,COUNTIF($Q$2:$Q745,1),"")</f>
        <v/>
      </c>
      <c r="S745" t="str">
        <f>IFERROR(INDEX(ClientInfo[Full Name], MATCH(ROWS($R$2:$R745),ClientInfo[frequency], 0)),"")</f>
        <v/>
      </c>
    </row>
    <row r="746" spans="1:19">
      <c r="A746" t="str">
        <f>TRIM(CONCATENATE(ClientInfo[[#This Row],[First Name]], " ",ClientInfo[[#This Row],[Last Name]]))</f>
        <v>Marylou</v>
      </c>
      <c r="B746" t="s">
        <v>332</v>
      </c>
      <c r="D746" t="s">
        <v>333</v>
      </c>
      <c r="F746" s="52">
        <v>9176983224</v>
      </c>
      <c r="G746" s="52">
        <v>4102523378</v>
      </c>
      <c r="P746" t="s">
        <v>334</v>
      </c>
      <c r="Q746">
        <f>--ISNUMBER(SEARCH('RC Checklist'!$G$2,A746))</f>
        <v>0</v>
      </c>
      <c r="R746" t="str">
        <f>IF(Q746=1,COUNTIF($Q$2:$Q746,1),"")</f>
        <v/>
      </c>
      <c r="S746" t="str">
        <f>IFERROR(INDEX(ClientInfo[Full Name], MATCH(ROWS($R$2:$R746),ClientInfo[frequency], 0)),"")</f>
        <v/>
      </c>
    </row>
    <row r="747" spans="1:19">
      <c r="A747" t="str">
        <f>TRIM(CONCATENATE(ClientInfo[[#This Row],[First Name]], " ",ClientInfo[[#This Row],[Last Name]]))</f>
        <v>Matt</v>
      </c>
      <c r="B747" t="s">
        <v>66</v>
      </c>
      <c r="F747" s="52" t="s">
        <v>2474</v>
      </c>
      <c r="Q747">
        <f>--ISNUMBER(SEARCH('RC Checklist'!$G$2,A747))</f>
        <v>0</v>
      </c>
      <c r="R747" t="str">
        <f>IF(Q747=1,COUNTIF($Q$2:$Q747,1),"")</f>
        <v/>
      </c>
      <c r="S747" t="str">
        <f>IFERROR(INDEX(ClientInfo[Full Name], MATCH(ROWS($R$2:$R747),ClientInfo[frequency], 0)),"")</f>
        <v/>
      </c>
    </row>
    <row r="748" spans="1:19">
      <c r="A748" t="str">
        <f>TRIM(CONCATENATE(ClientInfo[[#This Row],[First Name]], " ",ClientInfo[[#This Row],[Last Name]]))</f>
        <v>Matt</v>
      </c>
      <c r="B748" t="s">
        <v>66</v>
      </c>
      <c r="F748" s="52">
        <v>4434659376</v>
      </c>
      <c r="Q748">
        <f>--ISNUMBER(SEARCH('RC Checklist'!$G$2,A748))</f>
        <v>0</v>
      </c>
      <c r="R748" t="str">
        <f>IF(Q748=1,COUNTIF($Q$2:$Q748,1),"")</f>
        <v/>
      </c>
      <c r="S748" t="str">
        <f>IFERROR(INDEX(ClientInfo[Full Name], MATCH(ROWS($R$2:$R748),ClientInfo[frequency], 0)),"")</f>
        <v/>
      </c>
    </row>
    <row r="749" spans="1:19">
      <c r="A749" t="str">
        <f>TRIM(CONCATENATE(ClientInfo[[#This Row],[First Name]], " ",ClientInfo[[#This Row],[Last Name]]))</f>
        <v>Matt Benicewicz</v>
      </c>
      <c r="B749" t="s">
        <v>66</v>
      </c>
      <c r="C749" t="s">
        <v>1093</v>
      </c>
      <c r="F749" s="52">
        <v>4109776783</v>
      </c>
      <c r="G749" s="52" t="s">
        <v>1094</v>
      </c>
      <c r="Q749">
        <f>--ISNUMBER(SEARCH('RC Checklist'!$G$2,A749))</f>
        <v>0</v>
      </c>
      <c r="R749" t="str">
        <f>IF(Q749=1,COUNTIF($Q$2:$Q749,1),"")</f>
        <v/>
      </c>
      <c r="S749" t="str">
        <f>IFERROR(INDEX(ClientInfo[Full Name], MATCH(ROWS($R$2:$R749),ClientInfo[frequency], 0)),"")</f>
        <v/>
      </c>
    </row>
    <row r="750" spans="1:19">
      <c r="A750" t="str">
        <f>TRIM(CONCATENATE(ClientInfo[[#This Row],[First Name]], " ",ClientInfo[[#This Row],[Last Name]]))</f>
        <v>Matt Daw</v>
      </c>
      <c r="B750" t="s">
        <v>66</v>
      </c>
      <c r="C750" t="s">
        <v>1822</v>
      </c>
      <c r="F750" s="52" t="s">
        <v>1823</v>
      </c>
      <c r="Q750">
        <f>--ISNUMBER(SEARCH('RC Checklist'!$G$2,A750))</f>
        <v>0</v>
      </c>
      <c r="R750" t="str">
        <f>IF(Q750=1,COUNTIF($Q$2:$Q750,1),"")</f>
        <v/>
      </c>
      <c r="S750" t="str">
        <f>IFERROR(INDEX(ClientInfo[Full Name], MATCH(ROWS($R$2:$R750),ClientInfo[frequency], 0)),"")</f>
        <v/>
      </c>
    </row>
    <row r="751" spans="1:19">
      <c r="A751" t="str">
        <f>TRIM(CONCATENATE(ClientInfo[[#This Row],[First Name]], " ",ClientInfo[[#This Row],[Last Name]]))</f>
        <v>Matt Eliott</v>
      </c>
      <c r="B751" t="s">
        <v>66</v>
      </c>
      <c r="C751" t="s">
        <v>2735</v>
      </c>
      <c r="F751" s="52">
        <v>4438455210</v>
      </c>
      <c r="Q751">
        <f>--ISNUMBER(SEARCH('RC Checklist'!$G$2,A751))</f>
        <v>0</v>
      </c>
      <c r="R751" t="str">
        <f>IF(Q751=1,COUNTIF($Q$2:$Q751,1),"")</f>
        <v/>
      </c>
      <c r="S751" t="str">
        <f>IFERROR(INDEX(ClientInfo[Full Name], MATCH(ROWS($R$2:$R751),ClientInfo[frequency], 0)),"")</f>
        <v/>
      </c>
    </row>
    <row r="752" spans="1:19">
      <c r="A752" t="str">
        <f>TRIM(CONCATENATE(ClientInfo[[#This Row],[First Name]], " ",ClientInfo[[#This Row],[Last Name]]))</f>
        <v>Matt Geckle</v>
      </c>
      <c r="B752" t="s">
        <v>66</v>
      </c>
      <c r="C752" t="s">
        <v>67</v>
      </c>
      <c r="D752" t="s">
        <v>68</v>
      </c>
      <c r="F752" s="52">
        <v>4108334116</v>
      </c>
      <c r="H752" t="s">
        <v>69</v>
      </c>
      <c r="O752" t="s">
        <v>70</v>
      </c>
      <c r="Q752">
        <f>--ISNUMBER(SEARCH('RC Checklist'!$G$2,A752))</f>
        <v>0</v>
      </c>
      <c r="R752" t="str">
        <f>IF(Q752=1,COUNTIF($Q$2:$Q752,1),"")</f>
        <v/>
      </c>
      <c r="S752" t="str">
        <f>IFERROR(INDEX(ClientInfo[Full Name], MATCH(ROWS($R$2:$R752),ClientInfo[frequency], 0)),"")</f>
        <v/>
      </c>
    </row>
    <row r="753" spans="1:19">
      <c r="A753" t="str">
        <f>TRIM(CONCATENATE(ClientInfo[[#This Row],[First Name]], " ",ClientInfo[[#This Row],[Last Name]]))</f>
        <v>Matt Ziemski</v>
      </c>
      <c r="B753" t="s">
        <v>66</v>
      </c>
      <c r="C753" t="s">
        <v>233</v>
      </c>
      <c r="D753" t="s">
        <v>234</v>
      </c>
      <c r="F753" s="52">
        <v>4433246706</v>
      </c>
      <c r="G753" s="52">
        <v>4104440010</v>
      </c>
      <c r="H753" t="s">
        <v>235</v>
      </c>
      <c r="O753" t="s">
        <v>236</v>
      </c>
      <c r="Q753">
        <f>--ISNUMBER(SEARCH('RC Checklist'!$G$2,A753))</f>
        <v>0</v>
      </c>
      <c r="R753" t="str">
        <f>IF(Q753=1,COUNTIF($Q$2:$Q753,1),"")</f>
        <v/>
      </c>
      <c r="S753" t="str">
        <f>IFERROR(INDEX(ClientInfo[Full Name], MATCH(ROWS($R$2:$R753),ClientInfo[frequency], 0)),"")</f>
        <v/>
      </c>
    </row>
    <row r="754" spans="1:19">
      <c r="A754" t="str">
        <f>TRIM(CONCATENATE(ClientInfo[[#This Row],[First Name]], " ",ClientInfo[[#This Row],[Last Name]]))</f>
        <v>Matthew Fannin</v>
      </c>
      <c r="B754" t="s">
        <v>1079</v>
      </c>
      <c r="C754" t="s">
        <v>214</v>
      </c>
      <c r="Q754">
        <f>--ISNUMBER(SEARCH('RC Checklist'!$G$2,A754))</f>
        <v>0</v>
      </c>
      <c r="R754" t="str">
        <f>IF(Q754=1,COUNTIF($Q$2:$Q754,1),"")</f>
        <v/>
      </c>
      <c r="S754" t="str">
        <f>IFERROR(INDEX(ClientInfo[Full Name], MATCH(ROWS($R$2:$R754),ClientInfo[frequency], 0)),"")</f>
        <v/>
      </c>
    </row>
    <row r="755" spans="1:19">
      <c r="A755" t="str">
        <f>TRIM(CONCATENATE(ClientInfo[[#This Row],[First Name]], " ",ClientInfo[[#This Row],[Last Name]]))</f>
        <v>Matthew Platania</v>
      </c>
      <c r="B755" t="s">
        <v>1079</v>
      </c>
      <c r="C755" t="s">
        <v>1080</v>
      </c>
      <c r="F755" s="52">
        <v>12025369609</v>
      </c>
      <c r="Q755">
        <f>--ISNUMBER(SEARCH('RC Checklist'!$G$2,A755))</f>
        <v>0</v>
      </c>
      <c r="R755" t="str">
        <f>IF(Q755=1,COUNTIF($Q$2:$Q755,1),"")</f>
        <v/>
      </c>
      <c r="S755" t="str">
        <f>IFERROR(INDEX(ClientInfo[Full Name], MATCH(ROWS($R$2:$R755),ClientInfo[frequency], 0)),"")</f>
        <v/>
      </c>
    </row>
    <row r="756" spans="1:19">
      <c r="A756" t="str">
        <f>TRIM(CONCATENATE(ClientInfo[[#This Row],[First Name]], " ",ClientInfo[[#This Row],[Last Name]]))</f>
        <v>Maurene</v>
      </c>
      <c r="B756" t="s">
        <v>2467</v>
      </c>
      <c r="F756" s="52">
        <v>7175855711</v>
      </c>
      <c r="G756" s="52">
        <v>7172387411</v>
      </c>
      <c r="Q756">
        <f>--ISNUMBER(SEARCH('RC Checklist'!$G$2,A756))</f>
        <v>0</v>
      </c>
      <c r="R756" t="str">
        <f>IF(Q756=1,COUNTIF($Q$2:$Q756,1),"")</f>
        <v/>
      </c>
      <c r="S756" t="str">
        <f>IFERROR(INDEX(ClientInfo[Full Name], MATCH(ROWS($R$2:$R756),ClientInfo[frequency], 0)),"")</f>
        <v/>
      </c>
    </row>
    <row r="757" spans="1:19">
      <c r="A757" t="str">
        <f>TRIM(CONCATENATE(ClientInfo[[#This Row],[First Name]], " ",ClientInfo[[#This Row],[Last Name]]))</f>
        <v>Mave Duffy</v>
      </c>
      <c r="B757" t="s">
        <v>960</v>
      </c>
      <c r="C757" t="s">
        <v>961</v>
      </c>
      <c r="Q757">
        <f>--ISNUMBER(SEARCH('RC Checklist'!$G$2,A757))</f>
        <v>0</v>
      </c>
      <c r="R757" t="str">
        <f>IF(Q757=1,COUNTIF($Q$2:$Q757,1),"")</f>
        <v/>
      </c>
      <c r="S757" t="str">
        <f>IFERROR(INDEX(ClientInfo[Full Name], MATCH(ROWS($R$2:$R757),ClientInfo[frequency], 0)),"")</f>
        <v/>
      </c>
    </row>
    <row r="758" spans="1:19">
      <c r="A758" t="str">
        <f>TRIM(CONCATENATE(ClientInfo[[#This Row],[First Name]], " ",ClientInfo[[#This Row],[Last Name]]))</f>
        <v>Mccormick Paint</v>
      </c>
      <c r="B758" t="s">
        <v>2602</v>
      </c>
      <c r="D758" t="s">
        <v>2602</v>
      </c>
      <c r="F758" s="52">
        <v>14105601121</v>
      </c>
      <c r="Q758">
        <f>--ISNUMBER(SEARCH('RC Checklist'!$G$2,A758))</f>
        <v>0</v>
      </c>
      <c r="R758" t="str">
        <f>IF(Q758=1,COUNTIF($Q$2:$Q758,1),"")</f>
        <v/>
      </c>
      <c r="S758" t="str">
        <f>IFERROR(INDEX(ClientInfo[Full Name], MATCH(ROWS($R$2:$R758),ClientInfo[frequency], 0)),"")</f>
        <v/>
      </c>
    </row>
    <row r="759" spans="1:19">
      <c r="A759" t="str">
        <f>TRIM(CONCATENATE(ClientInfo[[#This Row],[First Name]], " ",ClientInfo[[#This Row],[Last Name]]))</f>
        <v>Meg Dougherty</v>
      </c>
      <c r="B759" t="s">
        <v>969</v>
      </c>
      <c r="C759" t="s">
        <v>591</v>
      </c>
      <c r="F759" s="52" t="s">
        <v>970</v>
      </c>
      <c r="G759" s="52">
        <v>4109559094</v>
      </c>
      <c r="H759" t="s">
        <v>971</v>
      </c>
      <c r="Q759">
        <f>--ISNUMBER(SEARCH('RC Checklist'!$G$2,A759))</f>
        <v>0</v>
      </c>
      <c r="R759" t="str">
        <f>IF(Q759=1,COUNTIF($Q$2:$Q759,1),"")</f>
        <v/>
      </c>
      <c r="S759" t="str">
        <f>IFERROR(INDEX(ClientInfo[Full Name], MATCH(ROWS($R$2:$R759),ClientInfo[frequency], 0)),"")</f>
        <v/>
      </c>
    </row>
    <row r="760" spans="1:19">
      <c r="A760" t="str">
        <f>TRIM(CONCATENATE(ClientInfo[[#This Row],[First Name]], " ",ClientInfo[[#This Row],[Last Name]]))</f>
        <v>Meineke</v>
      </c>
      <c r="B760" t="s">
        <v>2687</v>
      </c>
      <c r="F760" s="52">
        <v>4106281411</v>
      </c>
      <c r="Q760">
        <f>--ISNUMBER(SEARCH('RC Checklist'!$G$2,A760))</f>
        <v>0</v>
      </c>
      <c r="R760" t="str">
        <f>IF(Q760=1,COUNTIF($Q$2:$Q760,1),"")</f>
        <v/>
      </c>
      <c r="S760" t="str">
        <f>IFERROR(INDEX(ClientInfo[Full Name], MATCH(ROWS($R$2:$R760),ClientInfo[frequency], 0)),"")</f>
        <v/>
      </c>
    </row>
    <row r="761" spans="1:19">
      <c r="A761" t="str">
        <f>TRIM(CONCATENATE(ClientInfo[[#This Row],[First Name]], " ",ClientInfo[[#This Row],[Last Name]]))</f>
        <v>Mel Braun</v>
      </c>
      <c r="B761" t="s">
        <v>2059</v>
      </c>
      <c r="C761" t="s">
        <v>783</v>
      </c>
      <c r="D761" t="s">
        <v>2060</v>
      </c>
      <c r="F761" s="52" t="s">
        <v>2061</v>
      </c>
      <c r="H761" t="s">
        <v>2062</v>
      </c>
      <c r="Q761">
        <f>--ISNUMBER(SEARCH('RC Checklist'!$G$2,A761))</f>
        <v>0</v>
      </c>
      <c r="R761" t="str">
        <f>IF(Q761=1,COUNTIF($Q$2:$Q761,1),"")</f>
        <v/>
      </c>
      <c r="S761" t="str">
        <f>IFERROR(INDEX(ClientInfo[Full Name], MATCH(ROWS($R$2:$R761),ClientInfo[frequency], 0)),"")</f>
        <v/>
      </c>
    </row>
    <row r="762" spans="1:19">
      <c r="A762" t="str">
        <f>TRIM(CONCATENATE(ClientInfo[[#This Row],[First Name]], " ",ClientInfo[[#This Row],[Last Name]]))</f>
        <v>Melissa</v>
      </c>
      <c r="B762" t="s">
        <v>264</v>
      </c>
      <c r="F762" s="52" t="s">
        <v>641</v>
      </c>
      <c r="H762" t="s">
        <v>642</v>
      </c>
      <c r="Q762">
        <f>--ISNUMBER(SEARCH('RC Checklist'!$G$2,A762))</f>
        <v>0</v>
      </c>
      <c r="R762" t="str">
        <f>IF(Q762=1,COUNTIF($Q$2:$Q762,1),"")</f>
        <v/>
      </c>
      <c r="S762" t="str">
        <f>IFERROR(INDEX(ClientInfo[Full Name], MATCH(ROWS($R$2:$R762),ClientInfo[frequency], 0)),"")</f>
        <v/>
      </c>
    </row>
    <row r="763" spans="1:19">
      <c r="A763" t="str">
        <f>TRIM(CONCATENATE(ClientInfo[[#This Row],[First Name]], " ",ClientInfo[[#This Row],[Last Name]]))</f>
        <v>Melissa</v>
      </c>
      <c r="B763" t="s">
        <v>264</v>
      </c>
      <c r="F763" s="52">
        <v>4104874049</v>
      </c>
      <c r="G763" s="52">
        <v>4103431994</v>
      </c>
      <c r="Q763">
        <f>--ISNUMBER(SEARCH('RC Checklist'!$G$2,A763))</f>
        <v>0</v>
      </c>
      <c r="R763" t="str">
        <f>IF(Q763=1,COUNTIF($Q$2:$Q763,1),"")</f>
        <v/>
      </c>
      <c r="S763" t="str">
        <f>IFERROR(INDEX(ClientInfo[Full Name], MATCH(ROWS($R$2:$R763),ClientInfo[frequency], 0)),"")</f>
        <v/>
      </c>
    </row>
    <row r="764" spans="1:19">
      <c r="A764" t="str">
        <f>TRIM(CONCATENATE(ClientInfo[[#This Row],[First Name]], " ",ClientInfo[[#This Row],[Last Name]]))</f>
        <v>Melissa Fannin</v>
      </c>
      <c r="B764" t="s">
        <v>264</v>
      </c>
      <c r="C764" t="s">
        <v>214</v>
      </c>
      <c r="F764" s="52">
        <v>4104874049</v>
      </c>
      <c r="Q764">
        <f>--ISNUMBER(SEARCH('RC Checklist'!$G$2,A764))</f>
        <v>0</v>
      </c>
      <c r="R764" t="str">
        <f>IF(Q764=1,COUNTIF($Q$2:$Q764,1),"")</f>
        <v/>
      </c>
      <c r="S764" t="str">
        <f>IFERROR(INDEX(ClientInfo[Full Name], MATCH(ROWS($R$2:$R764),ClientInfo[frequency], 0)),"")</f>
        <v/>
      </c>
    </row>
    <row r="765" spans="1:19">
      <c r="A765" t="str">
        <f>TRIM(CONCATENATE(ClientInfo[[#This Row],[First Name]], " ",ClientInfo[[#This Row],[Last Name]]))</f>
        <v>Melissa Subock</v>
      </c>
      <c r="B765" t="s">
        <v>264</v>
      </c>
      <c r="C765" t="s">
        <v>265</v>
      </c>
      <c r="D765" t="s">
        <v>266</v>
      </c>
      <c r="E765" t="s">
        <v>267</v>
      </c>
      <c r="F765" s="52">
        <v>4439237544</v>
      </c>
      <c r="H765" t="s">
        <v>268</v>
      </c>
      <c r="O765" t="s">
        <v>269</v>
      </c>
      <c r="Q765">
        <f>--ISNUMBER(SEARCH('RC Checklist'!$G$2,A765))</f>
        <v>0</v>
      </c>
      <c r="R765" t="str">
        <f>IF(Q765=1,COUNTIF($Q$2:$Q765,1),"")</f>
        <v/>
      </c>
      <c r="S765" t="str">
        <f>IFERROR(INDEX(ClientInfo[Full Name], MATCH(ROWS($R$2:$R765),ClientInfo[frequency], 0)),"")</f>
        <v/>
      </c>
    </row>
    <row r="766" spans="1:19">
      <c r="A766" t="str">
        <f>TRIM(CONCATENATE(ClientInfo[[#This Row],[First Name]], " ",ClientInfo[[#This Row],[Last Name]]))</f>
        <v>Melissa/mike</v>
      </c>
      <c r="B766" t="s">
        <v>1995</v>
      </c>
      <c r="F766" s="52">
        <v>4105525997</v>
      </c>
      <c r="Q766">
        <f>--ISNUMBER(SEARCH('RC Checklist'!$G$2,A766))</f>
        <v>0</v>
      </c>
      <c r="R766" t="str">
        <f>IF(Q766=1,COUNTIF($Q$2:$Q766,1),"")</f>
        <v/>
      </c>
      <c r="S766" t="str">
        <f>IFERROR(INDEX(ClientInfo[Full Name], MATCH(ROWS($R$2:$R766),ClientInfo[frequency], 0)),"")</f>
        <v/>
      </c>
    </row>
    <row r="767" spans="1:19">
      <c r="A767" t="str">
        <f>TRIM(CONCATENATE(ClientInfo[[#This Row],[First Name]], " ",ClientInfo[[#This Row],[Last Name]]))</f>
        <v>Meredith J Lonberger</v>
      </c>
      <c r="B767" t="s">
        <v>2165</v>
      </c>
      <c r="C767" t="s">
        <v>865</v>
      </c>
      <c r="F767" s="52" t="s">
        <v>2166</v>
      </c>
      <c r="H767" t="s">
        <v>2167</v>
      </c>
      <c r="O767" t="s">
        <v>2168</v>
      </c>
      <c r="P767" t="s">
        <v>2169</v>
      </c>
      <c r="Q767">
        <f>--ISNUMBER(SEARCH('RC Checklist'!$G$2,A767))</f>
        <v>0</v>
      </c>
      <c r="R767" t="str">
        <f>IF(Q767=1,COUNTIF($Q$2:$Q767,1),"")</f>
        <v/>
      </c>
      <c r="S767" t="str">
        <f>IFERROR(INDEX(ClientInfo[Full Name], MATCH(ROWS($R$2:$R767),ClientInfo[frequency], 0)),"")</f>
        <v/>
      </c>
    </row>
    <row r="768" spans="1:19">
      <c r="A768" t="str">
        <f>TRIM(CONCATENATE(ClientInfo[[#This Row],[First Name]], " ",ClientInfo[[#This Row],[Last Name]]))</f>
        <v>Michael</v>
      </c>
      <c r="B768" t="s">
        <v>192</v>
      </c>
      <c r="D768" t="s">
        <v>735</v>
      </c>
      <c r="F768" s="52">
        <v>14106662326</v>
      </c>
      <c r="Q768">
        <f>--ISNUMBER(SEARCH('RC Checklist'!$G$2,A768))</f>
        <v>0</v>
      </c>
      <c r="R768" t="str">
        <f>IF(Q768=1,COUNTIF($Q$2:$Q768,1),"")</f>
        <v/>
      </c>
      <c r="S768" t="str">
        <f>IFERROR(INDEX(ClientInfo[Full Name], MATCH(ROWS($R$2:$R768),ClientInfo[frequency], 0)),"")</f>
        <v/>
      </c>
    </row>
    <row r="769" spans="1:19">
      <c r="A769" t="str">
        <f>TRIM(CONCATENATE(ClientInfo[[#This Row],[First Name]], " ",ClientInfo[[#This Row],[Last Name]]))</f>
        <v>Michael &amp; Becky Hoffman</v>
      </c>
      <c r="B769" t="s">
        <v>1808</v>
      </c>
      <c r="C769" t="s">
        <v>1809</v>
      </c>
      <c r="F769" s="52" t="s">
        <v>1810</v>
      </c>
      <c r="O769" t="s">
        <v>1811</v>
      </c>
      <c r="Q769">
        <f>--ISNUMBER(SEARCH('RC Checklist'!$G$2,A769))</f>
        <v>0</v>
      </c>
      <c r="R769" t="str">
        <f>IF(Q769=1,COUNTIF($Q$2:$Q769,1),"")</f>
        <v/>
      </c>
      <c r="S769" t="str">
        <f>IFERROR(INDEX(ClientInfo[Full Name], MATCH(ROWS($R$2:$R769),ClientInfo[frequency], 0)),"")</f>
        <v/>
      </c>
    </row>
    <row r="770" spans="1:19">
      <c r="A770" t="str">
        <f>TRIM(CONCATENATE(ClientInfo[[#This Row],[First Name]], " ",ClientInfo[[#This Row],[Last Name]]))</f>
        <v>Michael Halstad</v>
      </c>
      <c r="B770" t="s">
        <v>192</v>
      </c>
      <c r="C770" t="s">
        <v>237</v>
      </c>
      <c r="F770" s="52" t="s">
        <v>238</v>
      </c>
      <c r="H770" t="s">
        <v>239</v>
      </c>
      <c r="Q770">
        <f>--ISNUMBER(SEARCH('RC Checklist'!$G$2,A770))</f>
        <v>0</v>
      </c>
      <c r="R770" t="str">
        <f>IF(Q770=1,COUNTIF($Q$2:$Q770,1),"")</f>
        <v/>
      </c>
      <c r="S770" t="str">
        <f>IFERROR(INDEX(ClientInfo[Full Name], MATCH(ROWS($R$2:$R770),ClientInfo[frequency], 0)),"")</f>
        <v/>
      </c>
    </row>
    <row r="771" spans="1:19">
      <c r="A771" t="str">
        <f>TRIM(CONCATENATE(ClientInfo[[#This Row],[First Name]], " ",ClientInfo[[#This Row],[Last Name]]))</f>
        <v>Michael Hammel</v>
      </c>
      <c r="B771" t="s">
        <v>2500</v>
      </c>
      <c r="C771" t="s">
        <v>1797</v>
      </c>
      <c r="D771" t="s">
        <v>1798</v>
      </c>
      <c r="Q771">
        <f>--ISNUMBER(SEARCH('RC Checklist'!$G$2,A771))</f>
        <v>0</v>
      </c>
      <c r="R771" t="str">
        <f>IF(Q771=1,COUNTIF($Q$2:$Q771,1),"")</f>
        <v/>
      </c>
      <c r="S771" t="str">
        <f>IFERROR(INDEX(ClientInfo[Full Name], MATCH(ROWS($R$2:$R771),ClientInfo[frequency], 0)),"")</f>
        <v/>
      </c>
    </row>
    <row r="772" spans="1:19">
      <c r="A772" t="str">
        <f>TRIM(CONCATENATE(ClientInfo[[#This Row],[First Name]], " ",ClientInfo[[#This Row],[Last Name]]))</f>
        <v>Michael Nickey</v>
      </c>
      <c r="B772" t="s">
        <v>192</v>
      </c>
      <c r="C772" t="s">
        <v>193</v>
      </c>
      <c r="D772" t="s">
        <v>194</v>
      </c>
      <c r="E772" t="s">
        <v>195</v>
      </c>
      <c r="F772" s="52">
        <v>2404542824</v>
      </c>
      <c r="G772" s="52" t="s">
        <v>196</v>
      </c>
      <c r="H772" t="s">
        <v>197</v>
      </c>
      <c r="O772" t="s">
        <v>198</v>
      </c>
      <c r="Q772">
        <f>--ISNUMBER(SEARCH('RC Checklist'!$G$2,A772))</f>
        <v>0</v>
      </c>
      <c r="R772" t="str">
        <f>IF(Q772=1,COUNTIF($Q$2:$Q772,1),"")</f>
        <v/>
      </c>
      <c r="S772" t="str">
        <f>IFERROR(INDEX(ClientInfo[Full Name], MATCH(ROWS($R$2:$R772),ClientInfo[frequency], 0)),"")</f>
        <v/>
      </c>
    </row>
    <row r="773" spans="1:19">
      <c r="A773" t="str">
        <f>TRIM(CONCATENATE(ClientInfo[[#This Row],[First Name]], " ",ClientInfo[[#This Row],[Last Name]]))</f>
        <v>Michael Schrieber</v>
      </c>
      <c r="B773" t="s">
        <v>192</v>
      </c>
      <c r="C773" t="s">
        <v>2850</v>
      </c>
      <c r="F773" s="52" t="s">
        <v>2851</v>
      </c>
      <c r="O773" t="s">
        <v>2852</v>
      </c>
      <c r="Q773">
        <f>--ISNUMBER(SEARCH('RC Checklist'!$G$2,A773))</f>
        <v>0</v>
      </c>
      <c r="R773" t="str">
        <f>IF(Q773=1,COUNTIF($Q$2:$Q773,1),"")</f>
        <v/>
      </c>
      <c r="S773" t="str">
        <f>IFERROR(INDEX(ClientInfo[Full Name], MATCH(ROWS($R$2:$R773),ClientInfo[frequency], 0)),"")</f>
        <v/>
      </c>
    </row>
    <row r="774" spans="1:19">
      <c r="A774" t="str">
        <f>TRIM(CONCATENATE(ClientInfo[[#This Row],[First Name]], " ",ClientInfo[[#This Row],[Last Name]]))</f>
        <v>Michelle</v>
      </c>
      <c r="B774" t="s">
        <v>858</v>
      </c>
      <c r="F774" s="52">
        <v>14108043850</v>
      </c>
      <c r="Q774">
        <f>--ISNUMBER(SEARCH('RC Checklist'!$G$2,A774))</f>
        <v>0</v>
      </c>
      <c r="R774" t="str">
        <f>IF(Q774=1,COUNTIF($Q$2:$Q774,1),"")</f>
        <v/>
      </c>
      <c r="S774" t="str">
        <f>IFERROR(INDEX(ClientInfo[Full Name], MATCH(ROWS($R$2:$R774),ClientInfo[frequency], 0)),"")</f>
        <v/>
      </c>
    </row>
    <row r="775" spans="1:19">
      <c r="A775" t="str">
        <f>TRIM(CONCATENATE(ClientInfo[[#This Row],[First Name]], " ",ClientInfo[[#This Row],[Last Name]]))</f>
        <v>Michelle Duell</v>
      </c>
      <c r="B775" t="s">
        <v>858</v>
      </c>
      <c r="C775" t="s">
        <v>2653</v>
      </c>
      <c r="F775" s="52" t="s">
        <v>2654</v>
      </c>
      <c r="Q775">
        <f>--ISNUMBER(SEARCH('RC Checklist'!$G$2,A775))</f>
        <v>0</v>
      </c>
      <c r="R775" t="str">
        <f>IF(Q775=1,COUNTIF($Q$2:$Q775,1),"")</f>
        <v/>
      </c>
      <c r="S775" t="str">
        <f>IFERROR(INDEX(ClientInfo[Full Name], MATCH(ROWS($R$2:$R775),ClientInfo[frequency], 0)),"")</f>
        <v/>
      </c>
    </row>
    <row r="776" spans="1:19">
      <c r="A776" t="str">
        <f>TRIM(CONCATENATE(ClientInfo[[#This Row],[First Name]], " ",ClientInfo[[#This Row],[Last Name]]))</f>
        <v>Michelle Galiger</v>
      </c>
      <c r="B776" t="s">
        <v>858</v>
      </c>
      <c r="C776" t="s">
        <v>859</v>
      </c>
      <c r="F776" s="52" t="s">
        <v>860</v>
      </c>
      <c r="Q776">
        <f>--ISNUMBER(SEARCH('RC Checklist'!$G$2,A776))</f>
        <v>0</v>
      </c>
      <c r="R776" t="str">
        <f>IF(Q776=1,COUNTIF($Q$2:$Q776,1),"")</f>
        <v/>
      </c>
      <c r="S776" t="str">
        <f>IFERROR(INDEX(ClientInfo[Full Name], MATCH(ROWS($R$2:$R776),ClientInfo[frequency], 0)),"")</f>
        <v/>
      </c>
    </row>
    <row r="777" spans="1:19">
      <c r="A777" t="str">
        <f>TRIM(CONCATENATE(ClientInfo[[#This Row],[First Name]], " ",ClientInfo[[#This Row],[Last Name]]))</f>
        <v>Michelle Hammed</v>
      </c>
      <c r="B777" t="s">
        <v>858</v>
      </c>
      <c r="C777" t="s">
        <v>2311</v>
      </c>
      <c r="F777" s="52">
        <v>4102749500</v>
      </c>
      <c r="Q777">
        <f>--ISNUMBER(SEARCH('RC Checklist'!$G$2,A777))</f>
        <v>0</v>
      </c>
      <c r="R777" t="str">
        <f>IF(Q777=1,COUNTIF($Q$2:$Q777,1),"")</f>
        <v/>
      </c>
      <c r="S777" t="str">
        <f>IFERROR(INDEX(ClientInfo[Full Name], MATCH(ROWS($R$2:$R777),ClientInfo[frequency], 0)),"")</f>
        <v/>
      </c>
    </row>
    <row r="778" spans="1:19">
      <c r="A778" t="str">
        <f>TRIM(CONCATENATE(ClientInfo[[#This Row],[First Name]], " ",ClientInfo[[#This Row],[Last Name]]))</f>
        <v>Michelle Rockwitz</v>
      </c>
      <c r="B778" t="s">
        <v>858</v>
      </c>
      <c r="C778" t="s">
        <v>1432</v>
      </c>
      <c r="F778" s="52" t="s">
        <v>1433</v>
      </c>
      <c r="O778" t="s">
        <v>1434</v>
      </c>
      <c r="Q778">
        <f>--ISNUMBER(SEARCH('RC Checklist'!$G$2,A778))</f>
        <v>0</v>
      </c>
      <c r="R778" t="str">
        <f>IF(Q778=1,COUNTIF($Q$2:$Q778,1),"")</f>
        <v/>
      </c>
      <c r="S778" t="str">
        <f>IFERROR(INDEX(ClientInfo[Full Name], MATCH(ROWS($R$2:$R778),ClientInfo[frequency], 0)),"")</f>
        <v/>
      </c>
    </row>
    <row r="779" spans="1:19">
      <c r="A779" t="str">
        <f>TRIM(CONCATENATE(ClientInfo[[#This Row],[First Name]], " ",ClientInfo[[#This Row],[Last Name]]))</f>
        <v>Miguel</v>
      </c>
      <c r="B779" t="s">
        <v>2173</v>
      </c>
      <c r="F779" s="52" t="s">
        <v>2174</v>
      </c>
      <c r="Q779">
        <f>--ISNUMBER(SEARCH('RC Checklist'!$G$2,A779))</f>
        <v>0</v>
      </c>
      <c r="R779" t="str">
        <f>IF(Q779=1,COUNTIF($Q$2:$Q779,1),"")</f>
        <v/>
      </c>
      <c r="S779" t="str">
        <f>IFERROR(INDEX(ClientInfo[Full Name], MATCH(ROWS($R$2:$R779),ClientInfo[frequency], 0)),"")</f>
        <v/>
      </c>
    </row>
    <row r="780" spans="1:19">
      <c r="A780" t="str">
        <f>TRIM(CONCATENATE(ClientInfo[[#This Row],[First Name]], " ",ClientInfo[[#This Row],[Last Name]]))</f>
        <v>Mike &amp; Molly Ward</v>
      </c>
      <c r="B780" t="s">
        <v>1048</v>
      </c>
      <c r="C780" t="s">
        <v>1049</v>
      </c>
      <c r="F780" s="52">
        <v>14103570336</v>
      </c>
      <c r="O780" t="s">
        <v>1050</v>
      </c>
      <c r="Q780">
        <f>--ISNUMBER(SEARCH('RC Checklist'!$G$2,A780))</f>
        <v>0</v>
      </c>
      <c r="R780" t="str">
        <f>IF(Q780=1,COUNTIF($Q$2:$Q780,1),"")</f>
        <v/>
      </c>
      <c r="S780" t="str">
        <f>IFERROR(INDEX(ClientInfo[Full Name], MATCH(ROWS($R$2:$R780),ClientInfo[frequency], 0)),"")</f>
        <v/>
      </c>
    </row>
    <row r="781" spans="1:19">
      <c r="A781" t="str">
        <f>TRIM(CONCATENATE(ClientInfo[[#This Row],[First Name]], " ",ClientInfo[[#This Row],[Last Name]]))</f>
        <v>Mike &amp; Shannan Eisenklam</v>
      </c>
      <c r="B781" t="s">
        <v>1334</v>
      </c>
      <c r="C781" t="s">
        <v>1335</v>
      </c>
      <c r="O781" t="s">
        <v>1336</v>
      </c>
      <c r="Q781">
        <f>--ISNUMBER(SEARCH('RC Checklist'!$G$2,A781))</f>
        <v>0</v>
      </c>
      <c r="R781" t="str">
        <f>IF(Q781=1,COUNTIF($Q$2:$Q781,1),"")</f>
        <v/>
      </c>
      <c r="S781" t="str">
        <f>IFERROR(INDEX(ClientInfo[Full Name], MATCH(ROWS($R$2:$R781),ClientInfo[frequency], 0)),"")</f>
        <v/>
      </c>
    </row>
    <row r="782" spans="1:19">
      <c r="A782" t="str">
        <f>TRIM(CONCATENATE(ClientInfo[[#This Row],[First Name]], " ",ClientInfo[[#This Row],[Last Name]]))</f>
        <v>Mike Cole</v>
      </c>
      <c r="B782" t="s">
        <v>24</v>
      </c>
      <c r="C782" t="s">
        <v>1933</v>
      </c>
      <c r="F782" s="52" t="s">
        <v>1934</v>
      </c>
      <c r="Q782">
        <f>--ISNUMBER(SEARCH('RC Checklist'!$G$2,A782))</f>
        <v>0</v>
      </c>
      <c r="R782" t="str">
        <f>IF(Q782=1,COUNTIF($Q$2:$Q782,1),"")</f>
        <v/>
      </c>
      <c r="S782" t="str">
        <f>IFERROR(INDEX(ClientInfo[Full Name], MATCH(ROWS($R$2:$R782),ClientInfo[frequency], 0)),"")</f>
        <v/>
      </c>
    </row>
    <row r="783" spans="1:19">
      <c r="A783" t="str">
        <f>TRIM(CONCATENATE(ClientInfo[[#This Row],[First Name]], " ",ClientInfo[[#This Row],[Last Name]]))</f>
        <v>Mike Deasel</v>
      </c>
      <c r="B783" t="s">
        <v>24</v>
      </c>
      <c r="C783" t="s">
        <v>1458</v>
      </c>
      <c r="D783" t="s">
        <v>1459</v>
      </c>
      <c r="F783" s="52" t="s">
        <v>1460</v>
      </c>
      <c r="Q783">
        <f>--ISNUMBER(SEARCH('RC Checklist'!$G$2,A783))</f>
        <v>0</v>
      </c>
      <c r="R783" t="str">
        <f>IF(Q783=1,COUNTIF($Q$2:$Q783,1),"")</f>
        <v/>
      </c>
      <c r="S783" t="str">
        <f>IFERROR(INDEX(ClientInfo[Full Name], MATCH(ROWS($R$2:$R783),ClientInfo[frequency], 0)),"")</f>
        <v/>
      </c>
    </row>
    <row r="784" spans="1:19">
      <c r="A784" t="str">
        <f>TRIM(CONCATENATE(ClientInfo[[#This Row],[First Name]], " ",ClientInfo[[#This Row],[Last Name]]))</f>
        <v>Mike Early</v>
      </c>
      <c r="B784" t="s">
        <v>24</v>
      </c>
      <c r="C784" t="s">
        <v>2113</v>
      </c>
      <c r="F784" s="52" t="s">
        <v>2114</v>
      </c>
      <c r="Q784">
        <f>--ISNUMBER(SEARCH('RC Checklist'!$G$2,A784))</f>
        <v>0</v>
      </c>
      <c r="R784" t="str">
        <f>IF(Q784=1,COUNTIF($Q$2:$Q784,1),"")</f>
        <v/>
      </c>
      <c r="S784" t="str">
        <f>IFERROR(INDEX(ClientInfo[Full Name], MATCH(ROWS($R$2:$R784),ClientInfo[frequency], 0)),"")</f>
        <v/>
      </c>
    </row>
    <row r="785" spans="1:19">
      <c r="A785" t="str">
        <f>TRIM(CONCATENATE(ClientInfo[[#This Row],[First Name]], " ",ClientInfo[[#This Row],[Last Name]]))</f>
        <v>Mike Fiore</v>
      </c>
      <c r="B785" t="s">
        <v>24</v>
      </c>
      <c r="C785" t="s">
        <v>2380</v>
      </c>
      <c r="F785" s="52" t="s">
        <v>2381</v>
      </c>
      <c r="Q785">
        <f>--ISNUMBER(SEARCH('RC Checklist'!$G$2,A785))</f>
        <v>0</v>
      </c>
      <c r="R785" t="str">
        <f>IF(Q785=1,COUNTIF($Q$2:$Q785,1),"")</f>
        <v/>
      </c>
      <c r="S785" t="str">
        <f>IFERROR(INDEX(ClientInfo[Full Name], MATCH(ROWS($R$2:$R785),ClientInfo[frequency], 0)),"")</f>
        <v/>
      </c>
    </row>
    <row r="786" spans="1:19">
      <c r="A786" t="str">
        <f>TRIM(CONCATENATE(ClientInfo[[#This Row],[First Name]], " ",ClientInfo[[#This Row],[Last Name]]))</f>
        <v>Mike Galvin</v>
      </c>
      <c r="B786" t="s">
        <v>24</v>
      </c>
      <c r="C786" t="s">
        <v>1695</v>
      </c>
      <c r="D786" t="s">
        <v>1696</v>
      </c>
      <c r="F786" s="52" t="s">
        <v>1697</v>
      </c>
      <c r="Q786">
        <f>--ISNUMBER(SEARCH('RC Checklist'!$G$2,A786))</f>
        <v>0</v>
      </c>
      <c r="R786" t="str">
        <f>IF(Q786=1,COUNTIF($Q$2:$Q786,1),"")</f>
        <v/>
      </c>
      <c r="S786" t="str">
        <f>IFERROR(INDEX(ClientInfo[Full Name], MATCH(ROWS($R$2:$R786),ClientInfo[frequency], 0)),"")</f>
        <v/>
      </c>
    </row>
    <row r="787" spans="1:19">
      <c r="A787" t="str">
        <f>TRIM(CONCATENATE(ClientInfo[[#This Row],[First Name]], " ",ClientInfo[[#This Row],[Last Name]]))</f>
        <v>Mike Glantz</v>
      </c>
      <c r="B787" t="s">
        <v>24</v>
      </c>
      <c r="C787" t="s">
        <v>1204</v>
      </c>
      <c r="D787" t="s">
        <v>1205</v>
      </c>
      <c r="F787" s="52" t="s">
        <v>1206</v>
      </c>
      <c r="Q787">
        <f>--ISNUMBER(SEARCH('RC Checklist'!$G$2,A787))</f>
        <v>0</v>
      </c>
      <c r="R787" t="str">
        <f>IF(Q787=1,COUNTIF($Q$2:$Q787,1),"")</f>
        <v/>
      </c>
      <c r="S787" t="str">
        <f>IFERROR(INDEX(ClientInfo[Full Name], MATCH(ROWS($R$2:$R787),ClientInfo[frequency], 0)),"")</f>
        <v/>
      </c>
    </row>
    <row r="788" spans="1:19">
      <c r="A788" t="str">
        <f>TRIM(CONCATENATE(ClientInfo[[#This Row],[First Name]], " ",ClientInfo[[#This Row],[Last Name]]))</f>
        <v>Mike Greenwalt</v>
      </c>
      <c r="B788" t="s">
        <v>24</v>
      </c>
      <c r="C788" t="s">
        <v>720</v>
      </c>
      <c r="F788" s="52">
        <v>4104461988</v>
      </c>
      <c r="Q788">
        <f>--ISNUMBER(SEARCH('RC Checklist'!$G$2,A788))</f>
        <v>0</v>
      </c>
      <c r="R788" t="str">
        <f>IF(Q788=1,COUNTIF($Q$2:$Q788,1),"")</f>
        <v/>
      </c>
      <c r="S788" t="str">
        <f>IFERROR(INDEX(ClientInfo[Full Name], MATCH(ROWS($R$2:$R788),ClientInfo[frequency], 0)),"")</f>
        <v/>
      </c>
    </row>
    <row r="789" spans="1:19">
      <c r="A789" t="str">
        <f>TRIM(CONCATENATE(ClientInfo[[#This Row],[First Name]], " ",ClientInfo[[#This Row],[Last Name]]))</f>
        <v>Mike Hammel</v>
      </c>
      <c r="B789" t="s">
        <v>1796</v>
      </c>
      <c r="C789" t="s">
        <v>1797</v>
      </c>
      <c r="D789" t="s">
        <v>1798</v>
      </c>
      <c r="F789" s="52" t="s">
        <v>1799</v>
      </c>
      <c r="H789" t="s">
        <v>1800</v>
      </c>
      <c r="Q789">
        <f>--ISNUMBER(SEARCH('RC Checklist'!$G$2,A789))</f>
        <v>0</v>
      </c>
      <c r="R789" t="str">
        <f>IF(Q789=1,COUNTIF($Q$2:$Q789,1),"")</f>
        <v/>
      </c>
      <c r="S789" t="str">
        <f>IFERROR(INDEX(ClientInfo[Full Name], MATCH(ROWS($R$2:$R789),ClientInfo[frequency], 0)),"")</f>
        <v/>
      </c>
    </row>
    <row r="790" spans="1:19">
      <c r="A790" t="str">
        <f>TRIM(CONCATENATE(ClientInfo[[#This Row],[First Name]], " ",ClientInfo[[#This Row],[Last Name]]))</f>
        <v>Mike hargrove</v>
      </c>
      <c r="B790" t="s">
        <v>24</v>
      </c>
      <c r="C790" t="s">
        <v>1481</v>
      </c>
      <c r="F790" s="52">
        <v>4109378645</v>
      </c>
      <c r="H790" t="s">
        <v>1482</v>
      </c>
      <c r="Q790">
        <f>--ISNUMBER(SEARCH('RC Checklist'!$G$2,A790))</f>
        <v>0</v>
      </c>
      <c r="R790" t="str">
        <f>IF(Q790=1,COUNTIF($Q$2:$Q790,1),"")</f>
        <v/>
      </c>
      <c r="S790" t="str">
        <f>IFERROR(INDEX(ClientInfo[Full Name], MATCH(ROWS($R$2:$R790),ClientInfo[frequency], 0)),"")</f>
        <v/>
      </c>
    </row>
    <row r="791" spans="1:19">
      <c r="A791" t="str">
        <f>TRIM(CONCATENATE(ClientInfo[[#This Row],[First Name]], " ",ClientInfo[[#This Row],[Last Name]]))</f>
        <v>Mike Heiland</v>
      </c>
      <c r="B791" t="s">
        <v>24</v>
      </c>
      <c r="C791" t="s">
        <v>2455</v>
      </c>
      <c r="D791" t="s">
        <v>1279</v>
      </c>
      <c r="F791" s="52" t="s">
        <v>2456</v>
      </c>
      <c r="O791" t="s">
        <v>2457</v>
      </c>
      <c r="Q791">
        <f>--ISNUMBER(SEARCH('RC Checklist'!$G$2,A791))</f>
        <v>0</v>
      </c>
      <c r="R791" t="str">
        <f>IF(Q791=1,COUNTIF($Q$2:$Q791,1),"")</f>
        <v/>
      </c>
      <c r="S791" t="str">
        <f>IFERROR(INDEX(ClientInfo[Full Name], MATCH(ROWS($R$2:$R791),ClientInfo[frequency], 0)),"")</f>
        <v/>
      </c>
    </row>
    <row r="792" spans="1:19">
      <c r="A792" t="str">
        <f>TRIM(CONCATENATE(ClientInfo[[#This Row],[First Name]], " ",ClientInfo[[#This Row],[Last Name]]))</f>
        <v>Mike Horn</v>
      </c>
      <c r="B792" t="s">
        <v>24</v>
      </c>
      <c r="C792" t="s">
        <v>25</v>
      </c>
      <c r="E792" t="s">
        <v>26</v>
      </c>
      <c r="H792" t="s">
        <v>27</v>
      </c>
      <c r="P792" t="s">
        <v>28</v>
      </c>
      <c r="Q792">
        <f>--ISNUMBER(SEARCH('RC Checklist'!$G$2,A792))</f>
        <v>0</v>
      </c>
      <c r="R792" t="str">
        <f>IF(Q792=1,COUNTIF($Q$2:$Q792,1),"")</f>
        <v/>
      </c>
      <c r="S792" t="str">
        <f>IFERROR(INDEX(ClientInfo[Full Name], MATCH(ROWS($R$2:$R792),ClientInfo[frequency], 0)),"")</f>
        <v/>
      </c>
    </row>
    <row r="793" spans="1:19">
      <c r="A793" t="str">
        <f>TRIM(CONCATENATE(ClientInfo[[#This Row],[First Name]], " ",ClientInfo[[#This Row],[Last Name]]))</f>
        <v>Mike Horne</v>
      </c>
      <c r="B793" t="s">
        <v>24</v>
      </c>
      <c r="C793" t="s">
        <v>2085</v>
      </c>
      <c r="F793" s="52" t="s">
        <v>1694</v>
      </c>
      <c r="Q793">
        <f>--ISNUMBER(SEARCH('RC Checklist'!$G$2,A793))</f>
        <v>0</v>
      </c>
      <c r="R793" t="str">
        <f>IF(Q793=1,COUNTIF($Q$2:$Q793,1),"")</f>
        <v/>
      </c>
      <c r="S793" t="str">
        <f>IFERROR(INDEX(ClientInfo[Full Name], MATCH(ROWS($R$2:$R793),ClientInfo[frequency], 0)),"")</f>
        <v/>
      </c>
    </row>
    <row r="794" spans="1:19">
      <c r="A794" t="str">
        <f>TRIM(CONCATENATE(ClientInfo[[#This Row],[First Name]], " ",ClientInfo[[#This Row],[Last Name]]))</f>
        <v>Mike Keogh</v>
      </c>
      <c r="B794" t="s">
        <v>24</v>
      </c>
      <c r="C794" t="s">
        <v>2065</v>
      </c>
      <c r="F794" s="52">
        <v>14438274178</v>
      </c>
      <c r="Q794">
        <f>--ISNUMBER(SEARCH('RC Checklist'!$G$2,A794))</f>
        <v>0</v>
      </c>
      <c r="R794" t="str">
        <f>IF(Q794=1,COUNTIF($Q$2:$Q794,1),"")</f>
        <v/>
      </c>
      <c r="S794" t="str">
        <f>IFERROR(INDEX(ClientInfo[Full Name], MATCH(ROWS($R$2:$R794),ClientInfo[frequency], 0)),"")</f>
        <v/>
      </c>
    </row>
    <row r="795" spans="1:19">
      <c r="A795" t="str">
        <f>TRIM(CONCATENATE(ClientInfo[[#This Row],[First Name]], " ",ClientInfo[[#This Row],[Last Name]]))</f>
        <v>Mike Kwikui</v>
      </c>
      <c r="B795" t="s">
        <v>24</v>
      </c>
      <c r="C795" t="s">
        <v>2170</v>
      </c>
      <c r="D795" t="s">
        <v>2171</v>
      </c>
      <c r="Q795">
        <f>--ISNUMBER(SEARCH('RC Checklist'!$G$2,A795))</f>
        <v>0</v>
      </c>
      <c r="R795" t="str">
        <f>IF(Q795=1,COUNTIF($Q$2:$Q795,1),"")</f>
        <v/>
      </c>
      <c r="S795" t="str">
        <f>IFERROR(INDEX(ClientInfo[Full Name], MATCH(ROWS($R$2:$R795),ClientInfo[frequency], 0)),"")</f>
        <v/>
      </c>
    </row>
    <row r="796" spans="1:19">
      <c r="A796" t="str">
        <f>TRIM(CONCATENATE(ClientInfo[[#This Row],[First Name]], " ",ClientInfo[[#This Row],[Last Name]]))</f>
        <v>Mike Lynch</v>
      </c>
      <c r="B796" t="s">
        <v>24</v>
      </c>
      <c r="C796" t="s">
        <v>2589</v>
      </c>
      <c r="F796" s="52">
        <v>4109771224</v>
      </c>
      <c r="Q796">
        <f>--ISNUMBER(SEARCH('RC Checklist'!$G$2,A796))</f>
        <v>0</v>
      </c>
      <c r="R796" t="str">
        <f>IF(Q796=1,COUNTIF($Q$2:$Q796,1),"")</f>
        <v/>
      </c>
      <c r="S796" t="str">
        <f>IFERROR(INDEX(ClientInfo[Full Name], MATCH(ROWS($R$2:$R796),ClientInfo[frequency], 0)),"")</f>
        <v/>
      </c>
    </row>
    <row r="797" spans="1:19">
      <c r="A797" t="str">
        <f>TRIM(CONCATENATE(ClientInfo[[#This Row],[First Name]], " ",ClientInfo[[#This Row],[Last Name]]))</f>
        <v>Mike Mehann</v>
      </c>
      <c r="B797" t="s">
        <v>24</v>
      </c>
      <c r="C797" t="s">
        <v>587</v>
      </c>
      <c r="F797" s="52" t="s">
        <v>588</v>
      </c>
      <c r="Q797">
        <f>--ISNUMBER(SEARCH('RC Checklist'!$G$2,A797))</f>
        <v>0</v>
      </c>
      <c r="R797" t="str">
        <f>IF(Q797=1,COUNTIF($Q$2:$Q797,1),"")</f>
        <v/>
      </c>
      <c r="S797" t="str">
        <f>IFERROR(INDEX(ClientInfo[Full Name], MATCH(ROWS($R$2:$R797),ClientInfo[frequency], 0)),"")</f>
        <v/>
      </c>
    </row>
    <row r="798" spans="1:19">
      <c r="A798" t="str">
        <f>TRIM(CONCATENATE(ClientInfo[[#This Row],[First Name]], " ",ClientInfo[[#This Row],[Last Name]]))</f>
        <v>Mike Norton</v>
      </c>
      <c r="B798" t="s">
        <v>24</v>
      </c>
      <c r="C798" t="s">
        <v>1171</v>
      </c>
      <c r="F798" s="52" t="s">
        <v>1172</v>
      </c>
      <c r="Q798">
        <f>--ISNUMBER(SEARCH('RC Checklist'!$G$2,A798))</f>
        <v>0</v>
      </c>
      <c r="R798" t="str">
        <f>IF(Q798=1,COUNTIF($Q$2:$Q798,1),"")</f>
        <v/>
      </c>
      <c r="S798" t="str">
        <f>IFERROR(INDEX(ClientInfo[Full Name], MATCH(ROWS($R$2:$R798),ClientInfo[frequency], 0)),"")</f>
        <v/>
      </c>
    </row>
    <row r="799" spans="1:19">
      <c r="A799" t="str">
        <f>TRIM(CONCATENATE(ClientInfo[[#This Row],[First Name]], " ",ClientInfo[[#This Row],[Last Name]]))</f>
        <v>Mike paff</v>
      </c>
      <c r="B799" t="s">
        <v>24</v>
      </c>
      <c r="C799" t="s">
        <v>2192</v>
      </c>
      <c r="F799" s="52">
        <v>4108084729</v>
      </c>
      <c r="Q799">
        <f>--ISNUMBER(SEARCH('RC Checklist'!$G$2,A799))</f>
        <v>0</v>
      </c>
      <c r="R799" t="str">
        <f>IF(Q799=1,COUNTIF($Q$2:$Q799,1),"")</f>
        <v/>
      </c>
      <c r="S799" t="str">
        <f>IFERROR(INDEX(ClientInfo[Full Name], MATCH(ROWS($R$2:$R799),ClientInfo[frequency], 0)),"")</f>
        <v/>
      </c>
    </row>
    <row r="800" spans="1:19">
      <c r="A800" t="str">
        <f>TRIM(CONCATENATE(ClientInfo[[#This Row],[First Name]], " ",ClientInfo[[#This Row],[Last Name]]))</f>
        <v>Mike Potter</v>
      </c>
      <c r="B800" t="s">
        <v>24</v>
      </c>
      <c r="C800" t="s">
        <v>1173</v>
      </c>
      <c r="D800" t="s">
        <v>1174</v>
      </c>
      <c r="F800" s="52">
        <v>4103506466</v>
      </c>
      <c r="Q800">
        <f>--ISNUMBER(SEARCH('RC Checklist'!$G$2,A800))</f>
        <v>0</v>
      </c>
      <c r="R800" t="str">
        <f>IF(Q800=1,COUNTIF($Q$2:$Q800,1),"")</f>
        <v/>
      </c>
      <c r="S800" t="str">
        <f>IFERROR(INDEX(ClientInfo[Full Name], MATCH(ROWS($R$2:$R800),ClientInfo[frequency], 0)),"")</f>
        <v/>
      </c>
    </row>
    <row r="801" spans="1:19">
      <c r="A801" t="str">
        <f>TRIM(CONCATENATE(ClientInfo[[#This Row],[First Name]], " ",ClientInfo[[#This Row],[Last Name]]))</f>
        <v>Mike Rolland</v>
      </c>
      <c r="B801" t="s">
        <v>24</v>
      </c>
      <c r="C801" t="s">
        <v>1693</v>
      </c>
      <c r="F801" s="52" t="s">
        <v>1694</v>
      </c>
      <c r="Q801">
        <f>--ISNUMBER(SEARCH('RC Checklist'!$G$2,A801))</f>
        <v>0</v>
      </c>
      <c r="R801" t="str">
        <f>IF(Q801=1,COUNTIF($Q$2:$Q801,1),"")</f>
        <v/>
      </c>
      <c r="S801" t="str">
        <f>IFERROR(INDEX(ClientInfo[Full Name], MATCH(ROWS($R$2:$R801),ClientInfo[frequency], 0)),"")</f>
        <v/>
      </c>
    </row>
    <row r="802" spans="1:19">
      <c r="A802" t="str">
        <f>TRIM(CONCATENATE(ClientInfo[[#This Row],[First Name]], " ",ClientInfo[[#This Row],[Last Name]]))</f>
        <v>Mike Scharfer</v>
      </c>
      <c r="B802" t="s">
        <v>24</v>
      </c>
      <c r="C802" t="s">
        <v>824</v>
      </c>
      <c r="F802" s="52">
        <v>4108295794</v>
      </c>
      <c r="Q802">
        <f>--ISNUMBER(SEARCH('RC Checklist'!$G$2,A802))</f>
        <v>0</v>
      </c>
      <c r="R802" t="str">
        <f>IF(Q802=1,COUNTIF($Q$2:$Q802,1),"")</f>
        <v/>
      </c>
      <c r="S802" t="str">
        <f>IFERROR(INDEX(ClientInfo[Full Name], MATCH(ROWS($R$2:$R802),ClientInfo[frequency], 0)),"")</f>
        <v/>
      </c>
    </row>
    <row r="803" spans="1:19">
      <c r="A803" t="str">
        <f>TRIM(CONCATENATE(ClientInfo[[#This Row],[First Name]], " ",ClientInfo[[#This Row],[Last Name]]))</f>
        <v>Miky bragdon</v>
      </c>
      <c r="B803" t="s">
        <v>604</v>
      </c>
      <c r="C803" t="s">
        <v>605</v>
      </c>
      <c r="F803" s="52">
        <v>3015264544</v>
      </c>
      <c r="Q803">
        <f>--ISNUMBER(SEARCH('RC Checklist'!$G$2,A803))</f>
        <v>0</v>
      </c>
      <c r="R803" t="str">
        <f>IF(Q803=1,COUNTIF($Q$2:$Q803,1),"")</f>
        <v/>
      </c>
      <c r="S803" t="str">
        <f>IFERROR(INDEX(ClientInfo[Full Name], MATCH(ROWS($R$2:$R803),ClientInfo[frequency], 0)),"")</f>
        <v/>
      </c>
    </row>
    <row r="804" spans="1:19">
      <c r="A804" t="str">
        <f>TRIM(CONCATENATE(ClientInfo[[#This Row],[First Name]], " ",ClientInfo[[#This Row],[Last Name]]))</f>
        <v>Mile &amp; Jodi Harris</v>
      </c>
      <c r="B804" t="s">
        <v>1837</v>
      </c>
      <c r="C804" t="s">
        <v>460</v>
      </c>
      <c r="F804" s="52" t="s">
        <v>1838</v>
      </c>
      <c r="Q804">
        <f>--ISNUMBER(SEARCH('RC Checklist'!$G$2,A804))</f>
        <v>0</v>
      </c>
      <c r="R804" t="str">
        <f>IF(Q804=1,COUNTIF($Q$2:$Q804,1),"")</f>
        <v/>
      </c>
      <c r="S804" t="str">
        <f>IFERROR(INDEX(ClientInfo[Full Name], MATCH(ROWS($R$2:$R804),ClientInfo[frequency], 0)),"")</f>
        <v/>
      </c>
    </row>
    <row r="805" spans="1:19">
      <c r="A805" t="str">
        <f>TRIM(CONCATENATE(ClientInfo[[#This Row],[First Name]], " ",ClientInfo[[#This Row],[Last Name]]))</f>
        <v>Milt</v>
      </c>
      <c r="B805" t="s">
        <v>1324</v>
      </c>
      <c r="F805" s="52" t="s">
        <v>1325</v>
      </c>
      <c r="G805" s="52">
        <v>4106685027</v>
      </c>
      <c r="Q805">
        <f>--ISNUMBER(SEARCH('RC Checklist'!$G$2,A805))</f>
        <v>0</v>
      </c>
      <c r="R805" t="str">
        <f>IF(Q805=1,COUNTIF($Q$2:$Q805,1),"")</f>
        <v/>
      </c>
      <c r="S805" t="str">
        <f>IFERROR(INDEX(ClientInfo[Full Name], MATCH(ROWS($R$2:$R805),ClientInfo[frequency], 0)),"")</f>
        <v/>
      </c>
    </row>
    <row r="806" spans="1:19">
      <c r="A806" t="str">
        <f>TRIM(CONCATENATE(ClientInfo[[#This Row],[First Name]], " ",ClientInfo[[#This Row],[Last Name]]))</f>
        <v>Milton Inn</v>
      </c>
      <c r="B806" t="s">
        <v>1900</v>
      </c>
      <c r="D806" t="s">
        <v>1900</v>
      </c>
      <c r="F806" s="52" t="s">
        <v>1901</v>
      </c>
      <c r="Q806">
        <f>--ISNUMBER(SEARCH('RC Checklist'!$G$2,A806))</f>
        <v>0</v>
      </c>
      <c r="R806" t="str">
        <f>IF(Q806=1,COUNTIF($Q$2:$Q806,1),"")</f>
        <v/>
      </c>
      <c r="S806" t="str">
        <f>IFERROR(INDEX(ClientInfo[Full Name], MATCH(ROWS($R$2:$R806),ClientInfo[frequency], 0)),"")</f>
        <v/>
      </c>
    </row>
    <row r="807" spans="1:19">
      <c r="A807" t="str">
        <f>TRIM(CONCATENATE(ClientInfo[[#This Row],[First Name]], " ",ClientInfo[[#This Row],[Last Name]]))</f>
        <v>Miranda Fox</v>
      </c>
      <c r="B807" t="s">
        <v>1089</v>
      </c>
      <c r="C807" t="s">
        <v>1090</v>
      </c>
      <c r="F807" s="52" t="s">
        <v>1091</v>
      </c>
      <c r="Q807">
        <f>--ISNUMBER(SEARCH('RC Checklist'!$G$2,A807))</f>
        <v>0</v>
      </c>
      <c r="R807" t="str">
        <f>IF(Q807=1,COUNTIF($Q$2:$Q807,1),"")</f>
        <v/>
      </c>
      <c r="S807" t="str">
        <f>IFERROR(INDEX(ClientInfo[Full Name], MATCH(ROWS($R$2:$R807),ClientInfo[frequency], 0)),"")</f>
        <v/>
      </c>
    </row>
    <row r="808" spans="1:19">
      <c r="A808" t="str">
        <f>TRIM(CONCATENATE(ClientInfo[[#This Row],[First Name]], " ",ClientInfo[[#This Row],[Last Name]]))</f>
        <v>Missy &amp; Susie house cleaners</v>
      </c>
      <c r="B808" t="s">
        <v>2597</v>
      </c>
      <c r="C808" t="s">
        <v>2598</v>
      </c>
      <c r="Q808">
        <f>--ISNUMBER(SEARCH('RC Checklist'!$G$2,A808))</f>
        <v>0</v>
      </c>
      <c r="R808" t="str">
        <f>IF(Q808=1,COUNTIF($Q$2:$Q808,1),"")</f>
        <v/>
      </c>
      <c r="S808" t="str">
        <f>IFERROR(INDEX(ClientInfo[Full Name], MATCH(ROWS($R$2:$R808),ClientInfo[frequency], 0)),"")</f>
        <v/>
      </c>
    </row>
    <row r="809" spans="1:19">
      <c r="A809" t="str">
        <f>TRIM(CONCATENATE(ClientInfo[[#This Row],[First Name]], " ",ClientInfo[[#This Row],[Last Name]]))</f>
        <v>Mking</v>
      </c>
      <c r="B809" t="s">
        <v>2830</v>
      </c>
      <c r="H809" t="s">
        <v>2831</v>
      </c>
      <c r="Q809">
        <f>--ISNUMBER(SEARCH('RC Checklist'!$G$2,A809))</f>
        <v>0</v>
      </c>
      <c r="R809" t="str">
        <f>IF(Q809=1,COUNTIF($Q$2:$Q809,1),"")</f>
        <v/>
      </c>
      <c r="S809" t="str">
        <f>IFERROR(INDEX(ClientInfo[Full Name], MATCH(ROWS($R$2:$R809),ClientInfo[frequency], 0)),"")</f>
        <v/>
      </c>
    </row>
    <row r="810" spans="1:19">
      <c r="A810" t="str">
        <f>TRIM(CONCATENATE(ClientInfo[[#This Row],[First Name]], " ",ClientInfo[[#This Row],[Last Name]]))</f>
        <v>Mo</v>
      </c>
      <c r="B810" t="s">
        <v>2774</v>
      </c>
      <c r="F810" s="52" t="s">
        <v>2775</v>
      </c>
      <c r="Q810">
        <f>--ISNUMBER(SEARCH('RC Checklist'!$G$2,A810))</f>
        <v>0</v>
      </c>
      <c r="R810" t="str">
        <f>IF(Q810=1,COUNTIF($Q$2:$Q810,1),"")</f>
        <v/>
      </c>
      <c r="S810" t="str">
        <f>IFERROR(INDEX(ClientInfo[Full Name], MATCH(ROWS($R$2:$R810),ClientInfo[frequency], 0)),"")</f>
        <v/>
      </c>
    </row>
    <row r="811" spans="1:19">
      <c r="A811" t="str">
        <f>TRIM(CONCATENATE(ClientInfo[[#This Row],[First Name]], " ",ClientInfo[[#This Row],[Last Name]]))</f>
        <v>Mobile Headliner</v>
      </c>
      <c r="B811" t="s">
        <v>2550</v>
      </c>
      <c r="D811" t="s">
        <v>2550</v>
      </c>
      <c r="F811" s="52">
        <v>4102563618</v>
      </c>
      <c r="Q811">
        <f>--ISNUMBER(SEARCH('RC Checklist'!$G$2,A811))</f>
        <v>0</v>
      </c>
      <c r="R811" t="str">
        <f>IF(Q811=1,COUNTIF($Q$2:$Q811,1),"")</f>
        <v/>
      </c>
      <c r="S811" t="str">
        <f>IFERROR(INDEX(ClientInfo[Full Name], MATCH(ROWS($R$2:$R811),ClientInfo[frequency], 0)),"")</f>
        <v/>
      </c>
    </row>
    <row r="812" spans="1:19">
      <c r="A812" t="str">
        <f>TRIM(CONCATENATE(ClientInfo[[#This Row],[First Name]], " ",ClientInfo[[#This Row],[Last Name]]))</f>
        <v>Mom-home</v>
      </c>
      <c r="B812" t="s">
        <v>1720</v>
      </c>
      <c r="F812" s="52">
        <v>14106685717</v>
      </c>
      <c r="Q812">
        <f>--ISNUMBER(SEARCH('RC Checklist'!$G$2,A812))</f>
        <v>0</v>
      </c>
      <c r="R812" t="str">
        <f>IF(Q812=1,COUNTIF($Q$2:$Q812,1),"")</f>
        <v/>
      </c>
      <c r="S812" t="str">
        <f>IFERROR(INDEX(ClientInfo[Full Name], MATCH(ROWS($R$2:$R812),ClientInfo[frequency], 0)),"")</f>
        <v/>
      </c>
    </row>
    <row r="813" spans="1:19">
      <c r="A813" t="str">
        <f>TRIM(CONCATENATE(ClientInfo[[#This Row],[First Name]], " ",ClientInfo[[#This Row],[Last Name]]))</f>
        <v>Mommom</v>
      </c>
      <c r="B813" t="s">
        <v>1004</v>
      </c>
      <c r="F813" s="52">
        <v>4106081091</v>
      </c>
      <c r="Q813">
        <f>--ISNUMBER(SEARCH('RC Checklist'!$G$2,A813))</f>
        <v>0</v>
      </c>
      <c r="R813" t="str">
        <f>IF(Q813=1,COUNTIF($Q$2:$Q813,1),"")</f>
        <v/>
      </c>
      <c r="S813" t="str">
        <f>IFERROR(INDEX(ClientInfo[Full Name], MATCH(ROWS($R$2:$R813),ClientInfo[frequency], 0)),"")</f>
        <v/>
      </c>
    </row>
    <row r="814" spans="1:19">
      <c r="A814" t="str">
        <f>TRIM(CONCATENATE(ClientInfo[[#This Row],[First Name]], " ",ClientInfo[[#This Row],[Last Name]]))</f>
        <v>Monica Kander</v>
      </c>
      <c r="B814" t="s">
        <v>2444</v>
      </c>
      <c r="C814" t="s">
        <v>2445</v>
      </c>
      <c r="F814" s="52" t="s">
        <v>2446</v>
      </c>
      <c r="Q814">
        <f>--ISNUMBER(SEARCH('RC Checklist'!$G$2,A814))</f>
        <v>0</v>
      </c>
      <c r="R814" t="str">
        <f>IF(Q814=1,COUNTIF($Q$2:$Q814,1),"")</f>
        <v/>
      </c>
      <c r="S814" t="str">
        <f>IFERROR(INDEX(ClientInfo[Full Name], MATCH(ROWS($R$2:$R814),ClientInfo[frequency], 0)),"")</f>
        <v/>
      </c>
    </row>
    <row r="815" spans="1:19">
      <c r="A815" t="str">
        <f>TRIM(CONCATENATE(ClientInfo[[#This Row],[First Name]], " ",ClientInfo[[#This Row],[Last Name]]))</f>
        <v>Moulton</v>
      </c>
      <c r="C815" t="s">
        <v>1187</v>
      </c>
      <c r="F815" s="52">
        <v>7179936578</v>
      </c>
      <c r="Q815">
        <f>--ISNUMBER(SEARCH('RC Checklist'!$G$2,A815))</f>
        <v>0</v>
      </c>
      <c r="R815" t="str">
        <f>IF(Q815=1,COUNTIF($Q$2:$Q815,1),"")</f>
        <v/>
      </c>
      <c r="S815" t="str">
        <f>IFERROR(INDEX(ClientInfo[Full Name], MATCH(ROWS($R$2:$R815),ClientInfo[frequency], 0)),"")</f>
        <v/>
      </c>
    </row>
    <row r="816" spans="1:19">
      <c r="A816" t="str">
        <f>TRIM(CONCATENATE(ClientInfo[[#This Row],[First Name]], " ",ClientInfo[[#This Row],[Last Name]]))</f>
        <v>Ms. Pam</v>
      </c>
      <c r="B816" t="s">
        <v>1550</v>
      </c>
      <c r="C816" t="s">
        <v>580</v>
      </c>
      <c r="F816" s="52" t="s">
        <v>1551</v>
      </c>
      <c r="Q816">
        <f>--ISNUMBER(SEARCH('RC Checklist'!$G$2,A816))</f>
        <v>0</v>
      </c>
      <c r="R816" t="str">
        <f>IF(Q816=1,COUNTIF($Q$2:$Q816,1),"")</f>
        <v/>
      </c>
      <c r="S816" t="str">
        <f>IFERROR(INDEX(ClientInfo[Full Name], MATCH(ROWS($R$2:$R816),ClientInfo[frequency], 0)),"")</f>
        <v/>
      </c>
    </row>
    <row r="817" spans="1:19">
      <c r="A817" t="str">
        <f>TRIM(CONCATENATE(ClientInfo[[#This Row],[First Name]], " ",ClientInfo[[#This Row],[Last Name]]))</f>
        <v>MSI</v>
      </c>
      <c r="B817" t="s">
        <v>1738</v>
      </c>
      <c r="D817" t="s">
        <v>1738</v>
      </c>
      <c r="F817" s="52" t="s">
        <v>1739</v>
      </c>
      <c r="O817" t="s">
        <v>1740</v>
      </c>
      <c r="Q817">
        <f>--ISNUMBER(SEARCH('RC Checklist'!$G$2,A817))</f>
        <v>0</v>
      </c>
      <c r="R817" t="str">
        <f>IF(Q817=1,COUNTIF($Q$2:$Q817,1),"")</f>
        <v/>
      </c>
      <c r="S817" t="str">
        <f>IFERROR(INDEX(ClientInfo[Full Name], MATCH(ROWS($R$2:$R817),ClientInfo[frequency], 0)),"")</f>
        <v/>
      </c>
    </row>
    <row r="818" spans="1:19">
      <c r="A818" t="str">
        <f>TRIM(CONCATENATE(ClientInfo[[#This Row],[First Name]], " ",ClientInfo[[#This Row],[Last Name]]))</f>
        <v>Nancy</v>
      </c>
      <c r="B818" t="s">
        <v>2240</v>
      </c>
      <c r="F818" s="52">
        <v>4437669079</v>
      </c>
      <c r="Q818">
        <f>--ISNUMBER(SEARCH('RC Checklist'!$G$2,A818))</f>
        <v>0</v>
      </c>
      <c r="R818" t="str">
        <f>IF(Q818=1,COUNTIF($Q$2:$Q818,1),"")</f>
        <v/>
      </c>
      <c r="S818" t="str">
        <f>IFERROR(INDEX(ClientInfo[Full Name], MATCH(ROWS($R$2:$R818),ClientInfo[frequency], 0)),"")</f>
        <v/>
      </c>
    </row>
    <row r="819" spans="1:19">
      <c r="A819" t="str">
        <f>TRIM(CONCATENATE(ClientInfo[[#This Row],[First Name]], " ",ClientInfo[[#This Row],[Last Name]]))</f>
        <v>Napa</v>
      </c>
      <c r="B819" t="s">
        <v>2469</v>
      </c>
      <c r="F819" s="52">
        <v>4103291299</v>
      </c>
      <c r="Q819">
        <f>--ISNUMBER(SEARCH('RC Checklist'!$G$2,A819))</f>
        <v>0</v>
      </c>
      <c r="R819" t="str">
        <f>IF(Q819=1,COUNTIF($Q$2:$Q819,1),"")</f>
        <v/>
      </c>
      <c r="S819" t="str">
        <f>IFERROR(INDEX(ClientInfo[Full Name], MATCH(ROWS($R$2:$R819),ClientInfo[frequency], 0)),"")</f>
        <v/>
      </c>
    </row>
    <row r="820" spans="1:19">
      <c r="A820" t="str">
        <f>TRIM(CONCATENATE(ClientInfo[[#This Row],[First Name]], " ",ClientInfo[[#This Row],[Last Name]]))</f>
        <v>Natalie Sweitzer</v>
      </c>
      <c r="B820" t="s">
        <v>2720</v>
      </c>
      <c r="C820" t="s">
        <v>2721</v>
      </c>
      <c r="D820" t="s">
        <v>2722</v>
      </c>
      <c r="E820" t="s">
        <v>2723</v>
      </c>
      <c r="F820" s="52">
        <v>4102711160</v>
      </c>
      <c r="G820" s="52">
        <v>8665271995</v>
      </c>
      <c r="H820" t="s">
        <v>2724</v>
      </c>
      <c r="O820" t="s">
        <v>2725</v>
      </c>
      <c r="P820" t="s">
        <v>2726</v>
      </c>
      <c r="Q820">
        <f>--ISNUMBER(SEARCH('RC Checklist'!$G$2,A820))</f>
        <v>0</v>
      </c>
      <c r="R820" t="str">
        <f>IF(Q820=1,COUNTIF($Q$2:$Q820,1),"")</f>
        <v/>
      </c>
      <c r="S820" t="str">
        <f>IFERROR(INDEX(ClientInfo[Full Name], MATCH(ROWS($R$2:$R820),ClientInfo[frequency], 0)),"")</f>
        <v/>
      </c>
    </row>
    <row r="821" spans="1:19">
      <c r="A821" t="str">
        <f>TRIM(CONCATENATE(ClientInfo[[#This Row],[First Name]], " ",ClientInfo[[#This Row],[Last Name]]))</f>
        <v>Nelson Dickerson</v>
      </c>
      <c r="B821" t="s">
        <v>157</v>
      </c>
      <c r="C821" t="s">
        <v>158</v>
      </c>
      <c r="D821" t="s">
        <v>159</v>
      </c>
      <c r="Q821">
        <f>--ISNUMBER(SEARCH('RC Checklist'!$G$2,A821))</f>
        <v>0</v>
      </c>
      <c r="R821" t="str">
        <f>IF(Q821=1,COUNTIF($Q$2:$Q821,1),"")</f>
        <v/>
      </c>
      <c r="S821" t="str">
        <f>IFERROR(INDEX(ClientInfo[Full Name], MATCH(ROWS($R$2:$R821),ClientInfo[frequency], 0)),"")</f>
        <v/>
      </c>
    </row>
    <row r="822" spans="1:19">
      <c r="A822" t="str">
        <f>TRIM(CONCATENATE(ClientInfo[[#This Row],[First Name]], " ",ClientInfo[[#This Row],[Last Name]]))</f>
        <v>Nelson Hannah</v>
      </c>
      <c r="B822" t="s">
        <v>157</v>
      </c>
      <c r="C822" t="s">
        <v>2213</v>
      </c>
      <c r="D822" t="s">
        <v>2214</v>
      </c>
      <c r="F822" s="52" t="s">
        <v>2215</v>
      </c>
      <c r="Q822">
        <f>--ISNUMBER(SEARCH('RC Checklist'!$G$2,A822))</f>
        <v>0</v>
      </c>
      <c r="R822" t="str">
        <f>IF(Q822=1,COUNTIF($Q$2:$Q822,1),"")</f>
        <v/>
      </c>
      <c r="S822" t="str">
        <f>IFERROR(INDEX(ClientInfo[Full Name], MATCH(ROWS($R$2:$R822),ClientInfo[frequency], 0)),"")</f>
        <v/>
      </c>
    </row>
    <row r="823" spans="1:19">
      <c r="A823" t="str">
        <f>TRIM(CONCATENATE(ClientInfo[[#This Row],[First Name]], " ",ClientInfo[[#This Row],[Last Name]]))</f>
        <v>Nester Sanchez</v>
      </c>
      <c r="B823" t="s">
        <v>2828</v>
      </c>
      <c r="C823" t="s">
        <v>1103</v>
      </c>
      <c r="F823" s="52" t="s">
        <v>2829</v>
      </c>
      <c r="Q823">
        <f>--ISNUMBER(SEARCH('RC Checklist'!$G$2,A823))</f>
        <v>0</v>
      </c>
      <c r="R823" t="str">
        <f>IF(Q823=1,COUNTIF($Q$2:$Q823,1),"")</f>
        <v/>
      </c>
      <c r="S823" t="str">
        <f>IFERROR(INDEX(ClientInfo[Full Name], MATCH(ROWS($R$2:$R823),ClientInfo[frequency], 0)),"")</f>
        <v/>
      </c>
    </row>
    <row r="824" spans="1:19">
      <c r="A824" t="str">
        <f>TRIM(CONCATENATE(ClientInfo[[#This Row],[First Name]], " ",ClientInfo[[#This Row],[Last Name]]))</f>
        <v>Nick</v>
      </c>
      <c r="B824" t="s">
        <v>1302</v>
      </c>
      <c r="F824" s="52">
        <v>4437254381</v>
      </c>
      <c r="Q824">
        <f>--ISNUMBER(SEARCH('RC Checklist'!$G$2,A824))</f>
        <v>0</v>
      </c>
      <c r="R824" t="str">
        <f>IF(Q824=1,COUNTIF($Q$2:$Q824,1),"")</f>
        <v/>
      </c>
      <c r="S824" t="str">
        <f>IFERROR(INDEX(ClientInfo[Full Name], MATCH(ROWS($R$2:$R824),ClientInfo[frequency], 0)),"")</f>
        <v/>
      </c>
    </row>
    <row r="825" spans="1:19">
      <c r="A825" t="str">
        <f>TRIM(CONCATENATE(ClientInfo[[#This Row],[First Name]], " ",ClientInfo[[#This Row],[Last Name]]))</f>
        <v>Nick Garifolos</v>
      </c>
      <c r="B825" t="s">
        <v>560</v>
      </c>
      <c r="C825" t="s">
        <v>561</v>
      </c>
      <c r="F825" s="52" t="s">
        <v>562</v>
      </c>
      <c r="Q825">
        <f>--ISNUMBER(SEARCH('RC Checklist'!$G$2,A825))</f>
        <v>0</v>
      </c>
      <c r="R825" t="str">
        <f>IF(Q825=1,COUNTIF($Q$2:$Q825,1),"")</f>
        <v/>
      </c>
      <c r="S825" t="str">
        <f>IFERROR(INDEX(ClientInfo[Full Name], MATCH(ROWS($R$2:$R825),ClientInfo[frequency], 0)),"")</f>
        <v/>
      </c>
    </row>
    <row r="826" spans="1:19">
      <c r="A826" t="str">
        <f>TRIM(CONCATENATE(ClientInfo[[#This Row],[First Name]], " ",ClientInfo[[#This Row],[Last Name]]))</f>
        <v>Nick Hardebeck</v>
      </c>
      <c r="B826" t="s">
        <v>1302</v>
      </c>
      <c r="C826" t="s">
        <v>1303</v>
      </c>
      <c r="D826" t="s">
        <v>1304</v>
      </c>
      <c r="F826" s="52" t="s">
        <v>1305</v>
      </c>
      <c r="Q826">
        <f>--ISNUMBER(SEARCH('RC Checklist'!$G$2,A826))</f>
        <v>0</v>
      </c>
      <c r="R826" t="str">
        <f>IF(Q826=1,COUNTIF($Q$2:$Q826,1),"")</f>
        <v/>
      </c>
      <c r="S826" t="str">
        <f>IFERROR(INDEX(ClientInfo[Full Name], MATCH(ROWS($R$2:$R826),ClientInfo[frequency], 0)),"")</f>
        <v/>
      </c>
    </row>
    <row r="827" spans="1:19">
      <c r="A827" t="str">
        <f>TRIM(CONCATENATE(ClientInfo[[#This Row],[First Name]], " ",ClientInfo[[#This Row],[Last Name]]))</f>
        <v>Nick Henderson</v>
      </c>
      <c r="B827" t="s">
        <v>1302</v>
      </c>
      <c r="C827" t="s">
        <v>2139</v>
      </c>
      <c r="F827" s="52" t="s">
        <v>2140</v>
      </c>
      <c r="Q827">
        <f>--ISNUMBER(SEARCH('RC Checklist'!$G$2,A827))</f>
        <v>0</v>
      </c>
      <c r="R827" t="str">
        <f>IF(Q827=1,COUNTIF($Q$2:$Q827,1),"")</f>
        <v/>
      </c>
      <c r="S827" t="str">
        <f>IFERROR(INDEX(ClientInfo[Full Name], MATCH(ROWS($R$2:$R827),ClientInfo[frequency], 0)),"")</f>
        <v/>
      </c>
    </row>
    <row r="828" spans="1:19">
      <c r="A828" t="str">
        <f>TRIM(CONCATENATE(ClientInfo[[#This Row],[First Name]], " ",ClientInfo[[#This Row],[Last Name]]))</f>
        <v>Nick Levitsky</v>
      </c>
      <c r="B828" t="s">
        <v>1302</v>
      </c>
      <c r="C828" t="s">
        <v>2441</v>
      </c>
      <c r="F828" s="52">
        <v>4104993373</v>
      </c>
      <c r="Q828">
        <f>--ISNUMBER(SEARCH('RC Checklist'!$G$2,A828))</f>
        <v>0</v>
      </c>
      <c r="R828" t="str">
        <f>IF(Q828=1,COUNTIF($Q$2:$Q828,1),"")</f>
        <v/>
      </c>
      <c r="S828" t="str">
        <f>IFERROR(INDEX(ClientInfo[Full Name], MATCH(ROWS($R$2:$R828),ClientInfo[frequency], 0)),"")</f>
        <v/>
      </c>
    </row>
    <row r="829" spans="1:19">
      <c r="A829" t="str">
        <f>TRIM(CONCATENATE(ClientInfo[[#This Row],[First Name]], " ",ClientInfo[[#This Row],[Last Name]]))</f>
        <v>Nick Son</v>
      </c>
      <c r="B829" t="s">
        <v>1302</v>
      </c>
      <c r="C829" t="s">
        <v>2872</v>
      </c>
      <c r="D829" t="s">
        <v>2873</v>
      </c>
      <c r="F829" s="52" t="s">
        <v>2874</v>
      </c>
      <c r="Q829">
        <f>--ISNUMBER(SEARCH('RC Checklist'!$G$2,A829))</f>
        <v>0</v>
      </c>
      <c r="R829" t="str">
        <f>IF(Q829=1,COUNTIF($Q$2:$Q829,1),"")</f>
        <v/>
      </c>
      <c r="S829" t="str">
        <f>IFERROR(INDEX(ClientInfo[Full Name], MATCH(ROWS($R$2:$R829),ClientInfo[frequency], 0)),"")</f>
        <v/>
      </c>
    </row>
    <row r="830" spans="1:19">
      <c r="A830" t="str">
        <f>TRIM(CONCATENATE(ClientInfo[[#This Row],[First Name]], " ",ClientInfo[[#This Row],[Last Name]]))</f>
        <v>Nilsa</v>
      </c>
      <c r="B830" t="s">
        <v>1285</v>
      </c>
      <c r="F830" s="52">
        <v>3019381345</v>
      </c>
      <c r="Q830">
        <f>--ISNUMBER(SEARCH('RC Checklist'!$G$2,A830))</f>
        <v>0</v>
      </c>
      <c r="R830" t="str">
        <f>IF(Q830=1,COUNTIF($Q$2:$Q830,1),"")</f>
        <v/>
      </c>
      <c r="S830" t="str">
        <f>IFERROR(INDEX(ClientInfo[Full Name], MATCH(ROWS($R$2:$R830),ClientInfo[frequency], 0)),"")</f>
        <v/>
      </c>
    </row>
    <row r="831" spans="1:19">
      <c r="A831" t="str">
        <f>TRIM(CONCATENATE(ClientInfo[[#This Row],[First Name]], " ",ClientInfo[[#This Row],[Last Name]]))</f>
        <v>Nilsa</v>
      </c>
      <c r="B831" t="s">
        <v>1285</v>
      </c>
      <c r="F831" s="52">
        <v>3015858608</v>
      </c>
      <c r="Q831">
        <f>--ISNUMBER(SEARCH('RC Checklist'!$G$2,A831))</f>
        <v>0</v>
      </c>
      <c r="R831" t="str">
        <f>IF(Q831=1,COUNTIF($Q$2:$Q831,1),"")</f>
        <v/>
      </c>
      <c r="S831" t="str">
        <f>IFERROR(INDEX(ClientInfo[Full Name], MATCH(ROWS($R$2:$R831),ClientInfo[frequency], 0)),"")</f>
        <v/>
      </c>
    </row>
    <row r="832" spans="1:19">
      <c r="A832" t="str">
        <f>TRIM(CONCATENATE(ClientInfo[[#This Row],[First Name]], " ",ClientInfo[[#This Row],[Last Name]]))</f>
        <v>Noah Senior</v>
      </c>
      <c r="B832" t="s">
        <v>1602</v>
      </c>
      <c r="D832" t="s">
        <v>1603</v>
      </c>
      <c r="F832" s="52">
        <v>4434657294</v>
      </c>
      <c r="Q832">
        <f>--ISNUMBER(SEARCH('RC Checklist'!$G$2,A832))</f>
        <v>0</v>
      </c>
      <c r="R832" t="str">
        <f>IF(Q832=1,COUNTIF($Q$2:$Q832,1),"")</f>
        <v/>
      </c>
      <c r="S832" t="str">
        <f>IFERROR(INDEX(ClientInfo[Full Name], MATCH(ROWS($R$2:$R832),ClientInfo[frequency], 0)),"")</f>
        <v/>
      </c>
    </row>
    <row r="833" spans="1:19">
      <c r="A833" t="str">
        <f>TRIM(CONCATENATE(ClientInfo[[#This Row],[First Name]], " ",ClientInfo[[#This Row],[Last Name]]))</f>
        <v>Noman Dowty</v>
      </c>
      <c r="B833" t="s">
        <v>2914</v>
      </c>
      <c r="C833" t="s">
        <v>2915</v>
      </c>
      <c r="F833" s="52">
        <v>4437395772</v>
      </c>
      <c r="Q833">
        <f>--ISNUMBER(SEARCH('RC Checklist'!$G$2,A833))</f>
        <v>0</v>
      </c>
      <c r="R833" t="str">
        <f>IF(Q833=1,COUNTIF($Q$2:$Q833,1),"")</f>
        <v/>
      </c>
      <c r="S833" t="str">
        <f>IFERROR(INDEX(ClientInfo[Full Name], MATCH(ROWS($R$2:$R833),ClientInfo[frequency], 0)),"")</f>
        <v/>
      </c>
    </row>
    <row r="834" spans="1:19">
      <c r="A834" t="str">
        <f>TRIM(CONCATENATE(ClientInfo[[#This Row],[First Name]], " ",ClientInfo[[#This Row],[Last Name]]))</f>
        <v>Nora L. Gohn Â· Mortgage Banker</v>
      </c>
      <c r="B834" t="s">
        <v>240</v>
      </c>
      <c r="C834" t="s">
        <v>241</v>
      </c>
      <c r="D834" t="s">
        <v>242</v>
      </c>
      <c r="H834" t="s">
        <v>243</v>
      </c>
      <c r="Q834">
        <f>--ISNUMBER(SEARCH('RC Checklist'!$G$2,A834))</f>
        <v>0</v>
      </c>
      <c r="R834" t="str">
        <f>IF(Q834=1,COUNTIF($Q$2:$Q834,1),"")</f>
        <v/>
      </c>
      <c r="S834" t="str">
        <f>IFERROR(INDEX(ClientInfo[Full Name], MATCH(ROWS($R$2:$R834),ClientInfo[frequency], 0)),"")</f>
        <v/>
      </c>
    </row>
    <row r="835" spans="1:19">
      <c r="A835" t="str">
        <f>TRIM(CONCATENATE(ClientInfo[[#This Row],[First Name]], " ",ClientInfo[[#This Row],[Last Name]]))</f>
        <v>Norma Barrett</v>
      </c>
      <c r="B835" t="s">
        <v>2295</v>
      </c>
      <c r="C835" t="s">
        <v>1267</v>
      </c>
      <c r="Q835">
        <f>--ISNUMBER(SEARCH('RC Checklist'!$G$2,A835))</f>
        <v>0</v>
      </c>
      <c r="R835" t="str">
        <f>IF(Q835=1,COUNTIF($Q$2:$Q835,1),"")</f>
        <v/>
      </c>
      <c r="S835" t="str">
        <f>IFERROR(INDEX(ClientInfo[Full Name], MATCH(ROWS($R$2:$R835),ClientInfo[frequency], 0)),"")</f>
        <v/>
      </c>
    </row>
    <row r="836" spans="1:19">
      <c r="A836" t="str">
        <f>TRIM(CONCATENATE(ClientInfo[[#This Row],[First Name]], " ",ClientInfo[[#This Row],[Last Name]]))</f>
        <v>Normans tag title</v>
      </c>
      <c r="B836" t="s">
        <v>1213</v>
      </c>
      <c r="C836" t="s">
        <v>1214</v>
      </c>
      <c r="F836" s="52">
        <v>4108288247</v>
      </c>
      <c r="G836" s="52" t="s">
        <v>1215</v>
      </c>
      <c r="Q836">
        <f>--ISNUMBER(SEARCH('RC Checklist'!$G$2,A836))</f>
        <v>0</v>
      </c>
      <c r="R836" t="str">
        <f>IF(Q836=1,COUNTIF($Q$2:$Q836,1),"")</f>
        <v/>
      </c>
      <c r="S836" t="str">
        <f>IFERROR(INDEX(ClientInfo[Full Name], MATCH(ROWS($R$2:$R836),ClientInfo[frequency], 0)),"")</f>
        <v/>
      </c>
    </row>
    <row r="837" spans="1:19">
      <c r="A837" t="str">
        <f>TRIM(CONCATENATE(ClientInfo[[#This Row],[First Name]], " ",ClientInfo[[#This Row],[Last Name]]))</f>
        <v>Oakley</v>
      </c>
      <c r="B837" t="s">
        <v>1288</v>
      </c>
      <c r="F837" s="52">
        <v>18004037449</v>
      </c>
      <c r="Q837">
        <f>--ISNUMBER(SEARCH('RC Checklist'!$G$2,A837))</f>
        <v>0</v>
      </c>
      <c r="R837" t="str">
        <f>IF(Q837=1,COUNTIF($Q$2:$Q837,1),"")</f>
        <v/>
      </c>
      <c r="S837" t="str">
        <f>IFERROR(INDEX(ClientInfo[Full Name], MATCH(ROWS($R$2:$R837),ClientInfo[frequency], 0)),"")</f>
        <v/>
      </c>
    </row>
    <row r="838" spans="1:19">
      <c r="A838" t="str">
        <f>TRIM(CONCATENATE(ClientInfo[[#This Row],[First Name]], " ",ClientInfo[[#This Row],[Last Name]]))</f>
        <v>Ocean Side Helena</v>
      </c>
      <c r="B838" t="s">
        <v>340</v>
      </c>
      <c r="C838" t="s">
        <v>341</v>
      </c>
      <c r="D838" t="s">
        <v>342</v>
      </c>
      <c r="F838" s="52">
        <v>6319640302</v>
      </c>
      <c r="Q838">
        <f>--ISNUMBER(SEARCH('RC Checklist'!$G$2,A838))</f>
        <v>0</v>
      </c>
      <c r="R838" t="str">
        <f>IF(Q838=1,COUNTIF($Q$2:$Q838,1),"")</f>
        <v/>
      </c>
      <c r="S838" t="str">
        <f>IFERROR(INDEX(ClientInfo[Full Name], MATCH(ROWS($R$2:$R838),ClientInfo[frequency], 0)),"")</f>
        <v/>
      </c>
    </row>
    <row r="839" spans="1:19">
      <c r="A839" t="str">
        <f>TRIM(CONCATENATE(ClientInfo[[#This Row],[First Name]], " ",ClientInfo[[#This Row],[Last Name]]))</f>
        <v>Office Depot</v>
      </c>
      <c r="B839" t="s">
        <v>2310</v>
      </c>
      <c r="F839" s="52">
        <v>4102522800</v>
      </c>
      <c r="Q839">
        <f>--ISNUMBER(SEARCH('RC Checklist'!$G$2,A839))</f>
        <v>0</v>
      </c>
      <c r="R839" t="str">
        <f>IF(Q839=1,COUNTIF($Q$2:$Q839,1),"")</f>
        <v/>
      </c>
      <c r="S839" t="str">
        <f>IFERROR(INDEX(ClientInfo[Full Name], MATCH(ROWS($R$2:$R839),ClientInfo[frequency], 0)),"")</f>
        <v/>
      </c>
    </row>
    <row r="840" spans="1:19">
      <c r="A840" t="str">
        <f>TRIM(CONCATENATE(ClientInfo[[#This Row],[First Name]], " ",ClientInfo[[#This Row],[Last Name]]))</f>
        <v>Old Dude</v>
      </c>
      <c r="B840" t="s">
        <v>354</v>
      </c>
      <c r="D840" t="s">
        <v>354</v>
      </c>
      <c r="H840" t="s">
        <v>355</v>
      </c>
      <c r="O840" t="s">
        <v>356</v>
      </c>
      <c r="Q840">
        <f>--ISNUMBER(SEARCH('RC Checklist'!$G$2,A840))</f>
        <v>0</v>
      </c>
      <c r="R840" t="str">
        <f>IF(Q840=1,COUNTIF($Q$2:$Q840,1),"")</f>
        <v/>
      </c>
      <c r="S840" t="str">
        <f>IFERROR(INDEX(ClientInfo[Full Name], MATCH(ROWS($R$2:$R840),ClientInfo[frequency], 0)),"")</f>
        <v/>
      </c>
    </row>
    <row r="841" spans="1:19">
      <c r="A841" t="str">
        <f>TRIM(CONCATENATE(ClientInfo[[#This Row],[First Name]], " ",ClientInfo[[#This Row],[Last Name]]))</f>
        <v>Oniel</v>
      </c>
      <c r="B841" t="s">
        <v>1607</v>
      </c>
      <c r="F841" s="52" t="s">
        <v>1608</v>
      </c>
      <c r="G841" s="52">
        <v>4109826445</v>
      </c>
      <c r="Q841">
        <f>--ISNUMBER(SEARCH('RC Checklist'!$G$2,A841))</f>
        <v>0</v>
      </c>
      <c r="R841" t="str">
        <f>IF(Q841=1,COUNTIF($Q$2:$Q841,1),"")</f>
        <v/>
      </c>
      <c r="S841" t="str">
        <f>IFERROR(INDEX(ClientInfo[Full Name], MATCH(ROWS($R$2:$R841),ClientInfo[frequency], 0)),"")</f>
        <v/>
      </c>
    </row>
    <row r="842" spans="1:19">
      <c r="A842" t="str">
        <f>TRIM(CONCATENATE(ClientInfo[[#This Row],[First Name]], " ",ClientInfo[[#This Row],[Last Name]]))</f>
        <v>Orkin Pest Control</v>
      </c>
      <c r="B842" t="s">
        <v>1477</v>
      </c>
      <c r="D842" t="s">
        <v>1477</v>
      </c>
      <c r="F842" s="52" t="s">
        <v>1478</v>
      </c>
      <c r="Q842">
        <f>--ISNUMBER(SEARCH('RC Checklist'!$G$2,A842))</f>
        <v>0</v>
      </c>
      <c r="R842" t="str">
        <f>IF(Q842=1,COUNTIF($Q$2:$Q842,1),"")</f>
        <v/>
      </c>
      <c r="S842" t="str">
        <f>IFERROR(INDEX(ClientInfo[Full Name], MATCH(ROWS($R$2:$R842),ClientInfo[frequency], 0)),"")</f>
        <v/>
      </c>
    </row>
    <row r="843" spans="1:19">
      <c r="A843" t="str">
        <f>TRIM(CONCATENATE(ClientInfo[[#This Row],[First Name]], " ",ClientInfo[[#This Row],[Last Name]]))</f>
        <v>Oscar Ramirez</v>
      </c>
      <c r="B843" t="s">
        <v>1857</v>
      </c>
      <c r="C843" t="s">
        <v>1858</v>
      </c>
      <c r="D843" t="s">
        <v>1859</v>
      </c>
      <c r="F843" s="52" t="s">
        <v>1860</v>
      </c>
      <c r="Q843">
        <f>--ISNUMBER(SEARCH('RC Checklist'!$G$2,A843))</f>
        <v>0</v>
      </c>
      <c r="R843" t="str">
        <f>IF(Q843=1,COUNTIF($Q$2:$Q843,1),"")</f>
        <v/>
      </c>
      <c r="S843" t="str">
        <f>IFERROR(INDEX(ClientInfo[Full Name], MATCH(ROWS($R$2:$R843),ClientInfo[frequency], 0)),"")</f>
        <v/>
      </c>
    </row>
    <row r="844" spans="1:19">
      <c r="A844" t="str">
        <f>TRIM(CONCATENATE(ClientInfo[[#This Row],[First Name]], " ",ClientInfo[[#This Row],[Last Name]]))</f>
        <v>Outback Steakhouse</v>
      </c>
      <c r="B844" t="s">
        <v>2679</v>
      </c>
      <c r="F844" s="52">
        <v>4105271540</v>
      </c>
      <c r="Q844">
        <f>--ISNUMBER(SEARCH('RC Checklist'!$G$2,A844))</f>
        <v>0</v>
      </c>
      <c r="R844" t="str">
        <f>IF(Q844=1,COUNTIF($Q$2:$Q844,1),"")</f>
        <v/>
      </c>
      <c r="S844" t="str">
        <f>IFERROR(INDEX(ClientInfo[Full Name], MATCH(ROWS($R$2:$R844),ClientInfo[frequency], 0)),"")</f>
        <v/>
      </c>
    </row>
    <row r="845" spans="1:19">
      <c r="A845" t="str">
        <f>TRIM(CONCATENATE(ClientInfo[[#This Row],[First Name]], " ",ClientInfo[[#This Row],[Last Name]]))</f>
        <v>Owners manuals</v>
      </c>
      <c r="B845" t="s">
        <v>776</v>
      </c>
      <c r="C845" t="s">
        <v>777</v>
      </c>
      <c r="D845" t="s">
        <v>778</v>
      </c>
      <c r="F845" s="52" t="s">
        <v>779</v>
      </c>
      <c r="Q845">
        <f>--ISNUMBER(SEARCH('RC Checklist'!$G$2,A845))</f>
        <v>0</v>
      </c>
      <c r="R845" t="str">
        <f>IF(Q845=1,COUNTIF($Q$2:$Q845,1),"")</f>
        <v/>
      </c>
      <c r="S845" t="str">
        <f>IFERROR(INDEX(ClientInfo[Full Name], MATCH(ROWS($R$2:$R845),ClientInfo[frequency], 0)),"")</f>
        <v/>
      </c>
    </row>
    <row r="846" spans="1:19">
      <c r="A846" t="str">
        <f>TRIM(CONCATENATE(ClientInfo[[#This Row],[First Name]], " ",ClientInfo[[#This Row],[Last Name]]))</f>
        <v>P. F. Changs</v>
      </c>
      <c r="B846" t="s">
        <v>2512</v>
      </c>
      <c r="C846" t="s">
        <v>2513</v>
      </c>
      <c r="F846" s="52" t="s">
        <v>2514</v>
      </c>
      <c r="Q846">
        <f>--ISNUMBER(SEARCH('RC Checklist'!$G$2,A846))</f>
        <v>0</v>
      </c>
      <c r="R846" t="str">
        <f>IF(Q846=1,COUNTIF($Q$2:$Q846,1),"")</f>
        <v/>
      </c>
      <c r="S846" t="str">
        <f>IFERROR(INDEX(ClientInfo[Full Name], MATCH(ROWS($R$2:$R846),ClientInfo[frequency], 0)),"")</f>
        <v/>
      </c>
    </row>
    <row r="847" spans="1:19">
      <c r="A847" t="str">
        <f>TRIM(CONCATENATE(ClientInfo[[#This Row],[First Name]], " ",ClientInfo[[#This Row],[Last Name]]))</f>
        <v>Packer Norris Part</v>
      </c>
      <c r="B847" t="s">
        <v>2805</v>
      </c>
      <c r="C847" t="s">
        <v>2806</v>
      </c>
      <c r="F847" s="52">
        <v>4105748305</v>
      </c>
      <c r="Q847">
        <f>--ISNUMBER(SEARCH('RC Checklist'!$G$2,A847))</f>
        <v>0</v>
      </c>
      <c r="R847" t="str">
        <f>IF(Q847=1,COUNTIF($Q$2:$Q847,1),"")</f>
        <v/>
      </c>
      <c r="S847" t="str">
        <f>IFERROR(INDEX(ClientInfo[Full Name], MATCH(ROWS($R$2:$R847),ClientInfo[frequency], 0)),"")</f>
        <v/>
      </c>
    </row>
    <row r="848" spans="1:19">
      <c r="A848" t="str">
        <f>TRIM(CONCATENATE(ClientInfo[[#This Row],[First Name]], " ",ClientInfo[[#This Row],[Last Name]]))</f>
        <v>Padonia dental</v>
      </c>
      <c r="B848" t="s">
        <v>2832</v>
      </c>
      <c r="C848" t="s">
        <v>2833</v>
      </c>
      <c r="F848" s="52">
        <v>4105601400</v>
      </c>
      <c r="Q848">
        <f>--ISNUMBER(SEARCH('RC Checklist'!$G$2,A848))</f>
        <v>0</v>
      </c>
      <c r="R848" t="str">
        <f>IF(Q848=1,COUNTIF($Q$2:$Q848,1),"")</f>
        <v/>
      </c>
      <c r="S848" t="str">
        <f>IFERROR(INDEX(ClientInfo[Full Name], MATCH(ROWS($R$2:$R848),ClientInfo[frequency], 0)),"")</f>
        <v/>
      </c>
    </row>
    <row r="849" spans="1:19">
      <c r="A849" t="str">
        <f>TRIM(CONCATENATE(ClientInfo[[#This Row],[First Name]], " ",ClientInfo[[#This Row],[Last Name]]))</f>
        <v>Padonia Park</v>
      </c>
      <c r="B849" t="s">
        <v>280</v>
      </c>
      <c r="F849" s="52">
        <v>4102522046</v>
      </c>
      <c r="H849" t="s">
        <v>281</v>
      </c>
      <c r="P849" t="s">
        <v>282</v>
      </c>
      <c r="Q849">
        <f>--ISNUMBER(SEARCH('RC Checklist'!$G$2,A849))</f>
        <v>0</v>
      </c>
      <c r="R849" t="str">
        <f>IF(Q849=1,COUNTIF($Q$2:$Q849,1),"")</f>
        <v/>
      </c>
      <c r="S849" t="str">
        <f>IFERROR(INDEX(ClientInfo[Full Name], MATCH(ROWS($R$2:$R849),ClientInfo[frequency], 0)),"")</f>
        <v/>
      </c>
    </row>
    <row r="850" spans="1:19">
      <c r="A850" t="str">
        <f>TRIM(CONCATENATE(ClientInfo[[#This Row],[First Name]], " ",ClientInfo[[#This Row],[Last Name]]))</f>
        <v>Pam Colwell</v>
      </c>
      <c r="B850" t="s">
        <v>580</v>
      </c>
      <c r="C850" t="s">
        <v>2204</v>
      </c>
      <c r="F850" s="52" t="s">
        <v>1551</v>
      </c>
      <c r="Q850">
        <f>--ISNUMBER(SEARCH('RC Checklist'!$G$2,A850))</f>
        <v>0</v>
      </c>
      <c r="R850" t="str">
        <f>IF(Q850=1,COUNTIF($Q$2:$Q850,1),"")</f>
        <v/>
      </c>
      <c r="S850" t="str">
        <f>IFERROR(INDEX(ClientInfo[Full Name], MATCH(ROWS($R$2:$R850),ClientInfo[frequency], 0)),"")</f>
        <v/>
      </c>
    </row>
    <row r="851" spans="1:19">
      <c r="A851" t="str">
        <f>TRIM(CONCATENATE(ClientInfo[[#This Row],[First Name]], " ",ClientInfo[[#This Row],[Last Name]]))</f>
        <v>Pam Shaw</v>
      </c>
      <c r="B851" t="s">
        <v>580</v>
      </c>
      <c r="C851" t="s">
        <v>2682</v>
      </c>
      <c r="F851" s="52">
        <v>14104612943</v>
      </c>
      <c r="O851" t="s">
        <v>2683</v>
      </c>
      <c r="P851" t="s">
        <v>2684</v>
      </c>
      <c r="Q851">
        <f>--ISNUMBER(SEARCH('RC Checklist'!$G$2,A851))</f>
        <v>0</v>
      </c>
      <c r="R851" t="str">
        <f>IF(Q851=1,COUNTIF($Q$2:$Q851,1),"")</f>
        <v/>
      </c>
      <c r="S851" t="str">
        <f>IFERROR(INDEX(ClientInfo[Full Name], MATCH(ROWS($R$2:$R851),ClientInfo[frequency], 0)),"")</f>
        <v/>
      </c>
    </row>
    <row r="852" spans="1:19">
      <c r="A852" t="str">
        <f>TRIM(CONCATENATE(ClientInfo[[#This Row],[First Name]], " ",ClientInfo[[#This Row],[Last Name]]))</f>
        <v>Parris</v>
      </c>
      <c r="B852" t="s">
        <v>1028</v>
      </c>
      <c r="F852" s="52" t="s">
        <v>1029</v>
      </c>
      <c r="Q852">
        <f>--ISNUMBER(SEARCH('RC Checklist'!$G$2,A852))</f>
        <v>0</v>
      </c>
      <c r="R852" t="str">
        <f>IF(Q852=1,COUNTIF($Q$2:$Q852,1),"")</f>
        <v/>
      </c>
      <c r="S852" t="str">
        <f>IFERROR(INDEX(ClientInfo[Full Name], MATCH(ROWS($R$2:$R852),ClientInfo[frequency], 0)),"")</f>
        <v/>
      </c>
    </row>
    <row r="853" spans="1:19">
      <c r="A853" t="str">
        <f>TRIM(CONCATENATE(ClientInfo[[#This Row],[First Name]], " ",ClientInfo[[#This Row],[Last Name]]))</f>
        <v>Pasta Blitz</v>
      </c>
      <c r="B853" t="s">
        <v>2435</v>
      </c>
      <c r="D853" t="s">
        <v>2435</v>
      </c>
      <c r="F853" s="52" t="s">
        <v>2436</v>
      </c>
      <c r="Q853">
        <f>--ISNUMBER(SEARCH('RC Checklist'!$G$2,A853))</f>
        <v>0</v>
      </c>
      <c r="R853" t="str">
        <f>IF(Q853=1,COUNTIF($Q$2:$Q853,1),"")</f>
        <v/>
      </c>
      <c r="S853" t="str">
        <f>IFERROR(INDEX(ClientInfo[Full Name], MATCH(ROWS($R$2:$R853),ClientInfo[frequency], 0)),"")</f>
        <v/>
      </c>
    </row>
    <row r="854" spans="1:19">
      <c r="A854" t="str">
        <f>TRIM(CONCATENATE(ClientInfo[[#This Row],[First Name]], " ",ClientInfo[[#This Row],[Last Name]]))</f>
        <v>Pat &amp; Beth Collins</v>
      </c>
      <c r="B854" t="s">
        <v>2462</v>
      </c>
      <c r="C854" t="s">
        <v>701</v>
      </c>
      <c r="F854" s="52">
        <v>14102063674</v>
      </c>
      <c r="O854" t="s">
        <v>2463</v>
      </c>
      <c r="Q854">
        <f>--ISNUMBER(SEARCH('RC Checklist'!$G$2,A854))</f>
        <v>0</v>
      </c>
      <c r="R854" t="str">
        <f>IF(Q854=1,COUNTIF($Q$2:$Q854,1),"")</f>
        <v/>
      </c>
      <c r="S854" t="str">
        <f>IFERROR(INDEX(ClientInfo[Full Name], MATCH(ROWS($R$2:$R854),ClientInfo[frequency], 0)),"")</f>
        <v/>
      </c>
    </row>
    <row r="855" spans="1:19">
      <c r="A855" t="str">
        <f>TRIM(CONCATENATE(ClientInfo[[#This Row],[First Name]], " ",ClientInfo[[#This Row],[Last Name]]))</f>
        <v>Pat &amp; Harry Mc Glocklin</v>
      </c>
      <c r="B855" t="s">
        <v>845</v>
      </c>
      <c r="C855" t="s">
        <v>846</v>
      </c>
      <c r="F855" s="52">
        <v>4106793949</v>
      </c>
      <c r="Q855">
        <f>--ISNUMBER(SEARCH('RC Checklist'!$G$2,A855))</f>
        <v>0</v>
      </c>
      <c r="R855" t="str">
        <f>IF(Q855=1,COUNTIF($Q$2:$Q855,1),"")</f>
        <v/>
      </c>
      <c r="S855" t="str">
        <f>IFERROR(INDEX(ClientInfo[Full Name], MATCH(ROWS($R$2:$R855),ClientInfo[frequency], 0)),"")</f>
        <v/>
      </c>
    </row>
    <row r="856" spans="1:19">
      <c r="A856" t="str">
        <f>TRIM(CONCATENATE(ClientInfo[[#This Row],[First Name]], " ",ClientInfo[[#This Row],[Last Name]]))</f>
        <v>Pat Newsom</v>
      </c>
      <c r="B856" t="s">
        <v>2106</v>
      </c>
      <c r="C856" t="s">
        <v>2107</v>
      </c>
      <c r="F856" s="52" t="s">
        <v>2108</v>
      </c>
      <c r="H856" t="s">
        <v>2109</v>
      </c>
      <c r="Q856">
        <f>--ISNUMBER(SEARCH('RC Checklist'!$G$2,A856))</f>
        <v>0</v>
      </c>
      <c r="R856" t="str">
        <f>IF(Q856=1,COUNTIF($Q$2:$Q856,1),"")</f>
        <v/>
      </c>
      <c r="S856" t="str">
        <f>IFERROR(INDEX(ClientInfo[Full Name], MATCH(ROWS($R$2:$R856),ClientInfo[frequency], 0)),"")</f>
        <v/>
      </c>
    </row>
    <row r="857" spans="1:19">
      <c r="A857" t="str">
        <f>TRIM(CONCATENATE(ClientInfo[[#This Row],[First Name]], " ",ClientInfo[[#This Row],[Last Name]]))</f>
        <v>Pat Summer School Driver</v>
      </c>
      <c r="B857" t="s">
        <v>2106</v>
      </c>
      <c r="C857" t="s">
        <v>2475</v>
      </c>
      <c r="F857" s="52">
        <v>4437910421</v>
      </c>
      <c r="Q857">
        <f>--ISNUMBER(SEARCH('RC Checklist'!$G$2,A857))</f>
        <v>0</v>
      </c>
      <c r="R857" t="str">
        <f>IF(Q857=1,COUNTIF($Q$2:$Q857,1),"")</f>
        <v/>
      </c>
      <c r="S857" t="str">
        <f>IFERROR(INDEX(ClientInfo[Full Name], MATCH(ROWS($R$2:$R857),ClientInfo[frequency], 0)),"")</f>
        <v/>
      </c>
    </row>
    <row r="858" spans="1:19">
      <c r="A858" t="str">
        <f>TRIM(CONCATENATE(ClientInfo[[#This Row],[First Name]], " ",ClientInfo[[#This Row],[Last Name]]))</f>
        <v>Pati</v>
      </c>
      <c r="B858" t="s">
        <v>1231</v>
      </c>
      <c r="F858" s="52">
        <v>4102000024</v>
      </c>
      <c r="Q858">
        <f>--ISNUMBER(SEARCH('RC Checklist'!$G$2,A858))</f>
        <v>0</v>
      </c>
      <c r="R858" t="str">
        <f>IF(Q858=1,COUNTIF($Q$2:$Q858,1),"")</f>
        <v/>
      </c>
      <c r="S858" t="str">
        <f>IFERROR(INDEX(ClientInfo[Full Name], MATCH(ROWS($R$2:$R858),ClientInfo[frequency], 0)),"")</f>
        <v/>
      </c>
    </row>
    <row r="859" spans="1:19">
      <c r="A859" t="str">
        <f>TRIM(CONCATENATE(ClientInfo[[#This Row],[First Name]], " ",ClientInfo[[#This Row],[Last Name]]))</f>
        <v>Patty Galeski</v>
      </c>
      <c r="B859" t="s">
        <v>2134</v>
      </c>
      <c r="C859" t="s">
        <v>2135</v>
      </c>
      <c r="F859" s="52" t="s">
        <v>2136</v>
      </c>
      <c r="P859" t="s">
        <v>2137</v>
      </c>
      <c r="Q859">
        <f>--ISNUMBER(SEARCH('RC Checklist'!$G$2,A859))</f>
        <v>0</v>
      </c>
      <c r="R859" t="str">
        <f>IF(Q859=1,COUNTIF($Q$2:$Q859,1),"")</f>
        <v/>
      </c>
      <c r="S859" t="str">
        <f>IFERROR(INDEX(ClientInfo[Full Name], MATCH(ROWS($R$2:$R859),ClientInfo[frequency], 0)),"")</f>
        <v/>
      </c>
    </row>
    <row r="860" spans="1:19">
      <c r="A860" t="str">
        <f>TRIM(CONCATENATE(ClientInfo[[#This Row],[First Name]], " ",ClientInfo[[#This Row],[Last Name]]))</f>
        <v>Paul</v>
      </c>
      <c r="B860" t="s">
        <v>285</v>
      </c>
      <c r="D860" t="s">
        <v>780</v>
      </c>
      <c r="F860" s="52" t="s">
        <v>781</v>
      </c>
      <c r="Q860">
        <f>--ISNUMBER(SEARCH('RC Checklist'!$G$2,A860))</f>
        <v>0</v>
      </c>
      <c r="R860" t="str">
        <f>IF(Q860=1,COUNTIF($Q$2:$Q860,1),"")</f>
        <v/>
      </c>
      <c r="S860" t="str">
        <f>IFERROR(INDEX(ClientInfo[Full Name], MATCH(ROWS($R$2:$R860),ClientInfo[frequency], 0)),"")</f>
        <v/>
      </c>
    </row>
    <row r="861" spans="1:19">
      <c r="A861" t="str">
        <f>TRIM(CONCATENATE(ClientInfo[[#This Row],[First Name]], " ",ClientInfo[[#This Row],[Last Name]]))</f>
        <v>Paul &amp; Heidi Goldberg</v>
      </c>
      <c r="B861" t="s">
        <v>2633</v>
      </c>
      <c r="C861" t="s">
        <v>2634</v>
      </c>
      <c r="F861" s="52">
        <v>4438450341</v>
      </c>
      <c r="Q861">
        <f>--ISNUMBER(SEARCH('RC Checklist'!$G$2,A861))</f>
        <v>0</v>
      </c>
      <c r="R861" t="str">
        <f>IF(Q861=1,COUNTIF($Q$2:$Q861,1),"")</f>
        <v/>
      </c>
      <c r="S861" t="str">
        <f>IFERROR(INDEX(ClientInfo[Full Name], MATCH(ROWS($R$2:$R861),ClientInfo[frequency], 0)),"")</f>
        <v/>
      </c>
    </row>
    <row r="862" spans="1:19">
      <c r="A862" t="str">
        <f>TRIM(CONCATENATE(ClientInfo[[#This Row],[First Name]], " ",ClientInfo[[#This Row],[Last Name]]))</f>
        <v>Paul &amp; Karen Evitts</v>
      </c>
      <c r="B862" t="s">
        <v>903</v>
      </c>
      <c r="C862" t="s">
        <v>904</v>
      </c>
      <c r="F862" s="52" t="s">
        <v>905</v>
      </c>
      <c r="Q862">
        <f>--ISNUMBER(SEARCH('RC Checklist'!$G$2,A862))</f>
        <v>0</v>
      </c>
      <c r="R862" t="str">
        <f>IF(Q862=1,COUNTIF($Q$2:$Q862,1),"")</f>
        <v/>
      </c>
      <c r="S862" t="str">
        <f>IFERROR(INDEX(ClientInfo[Full Name], MATCH(ROWS($R$2:$R862),ClientInfo[frequency], 0)),"")</f>
        <v/>
      </c>
    </row>
    <row r="863" spans="1:19">
      <c r="A863" t="str">
        <f>TRIM(CONCATENATE(ClientInfo[[#This Row],[First Name]], " ",ClientInfo[[#This Row],[Last Name]]))</f>
        <v>Paul Foutz</v>
      </c>
      <c r="B863" t="s">
        <v>285</v>
      </c>
      <c r="C863" t="s">
        <v>755</v>
      </c>
      <c r="F863" s="52" t="s">
        <v>756</v>
      </c>
      <c r="G863" s="52">
        <v>4103570540</v>
      </c>
      <c r="O863" t="s">
        <v>757</v>
      </c>
      <c r="Q863">
        <f>--ISNUMBER(SEARCH('RC Checklist'!$G$2,A863))</f>
        <v>0</v>
      </c>
      <c r="R863" t="str">
        <f>IF(Q863=1,COUNTIF($Q$2:$Q863,1),"")</f>
        <v/>
      </c>
      <c r="S863" t="str">
        <f>IFERROR(INDEX(ClientInfo[Full Name], MATCH(ROWS($R$2:$R863),ClientInfo[frequency], 0)),"")</f>
        <v/>
      </c>
    </row>
    <row r="864" spans="1:19">
      <c r="A864" t="str">
        <f>TRIM(CONCATENATE(ClientInfo[[#This Row],[First Name]], " ",ClientInfo[[#This Row],[Last Name]]))</f>
        <v>Paul Kristoff</v>
      </c>
      <c r="B864" t="s">
        <v>285</v>
      </c>
      <c r="C864" t="s">
        <v>286</v>
      </c>
      <c r="D864" t="s">
        <v>287</v>
      </c>
      <c r="F864" s="52">
        <v>4102996715</v>
      </c>
      <c r="G864" s="52">
        <v>4104536628</v>
      </c>
      <c r="Q864">
        <f>--ISNUMBER(SEARCH('RC Checklist'!$G$2,A864))</f>
        <v>0</v>
      </c>
      <c r="R864" t="str">
        <f>IF(Q864=1,COUNTIF($Q$2:$Q864,1),"")</f>
        <v/>
      </c>
      <c r="S864" t="str">
        <f>IFERROR(INDEX(ClientInfo[Full Name], MATCH(ROWS($R$2:$R864),ClientInfo[frequency], 0)),"")</f>
        <v/>
      </c>
    </row>
    <row r="865" spans="1:19">
      <c r="A865" t="str">
        <f>TRIM(CONCATENATE(ClientInfo[[#This Row],[First Name]], " ",ClientInfo[[#This Row],[Last Name]]))</f>
        <v>Paul Malstrom</v>
      </c>
      <c r="B865" t="s">
        <v>285</v>
      </c>
      <c r="C865" t="s">
        <v>1483</v>
      </c>
      <c r="F865" s="52" t="s">
        <v>1484</v>
      </c>
      <c r="G865" s="52" t="s">
        <v>1485</v>
      </c>
      <c r="Q865">
        <f>--ISNUMBER(SEARCH('RC Checklist'!$G$2,A865))</f>
        <v>0</v>
      </c>
      <c r="R865" t="str">
        <f>IF(Q865=1,COUNTIF($Q$2:$Q865,1),"")</f>
        <v/>
      </c>
      <c r="S865" t="str">
        <f>IFERROR(INDEX(ClientInfo[Full Name], MATCH(ROWS($R$2:$R865),ClientInfo[frequency], 0)),"")</f>
        <v/>
      </c>
    </row>
    <row r="866" spans="1:19">
      <c r="A866" t="str">
        <f>TRIM(CONCATENATE(ClientInfo[[#This Row],[First Name]], " ",ClientInfo[[#This Row],[Last Name]]))</f>
        <v>Paul Miner</v>
      </c>
      <c r="B866" t="s">
        <v>285</v>
      </c>
      <c r="C866" t="s">
        <v>2472</v>
      </c>
      <c r="F866" s="52" t="s">
        <v>2473</v>
      </c>
      <c r="Q866">
        <f>--ISNUMBER(SEARCH('RC Checklist'!$G$2,A866))</f>
        <v>0</v>
      </c>
      <c r="R866" t="str">
        <f>IF(Q866=1,COUNTIF($Q$2:$Q866,1),"")</f>
        <v/>
      </c>
      <c r="S866" t="str">
        <f>IFERROR(INDEX(ClientInfo[Full Name], MATCH(ROWS($R$2:$R866),ClientInfo[frequency], 0)),"")</f>
        <v/>
      </c>
    </row>
    <row r="867" spans="1:19">
      <c r="A867" t="str">
        <f>TRIM(CONCATENATE(ClientInfo[[#This Row],[First Name]], " ",ClientInfo[[#This Row],[Last Name]]))</f>
        <v>Paul Sommers</v>
      </c>
      <c r="B867" t="s">
        <v>285</v>
      </c>
      <c r="C867" t="s">
        <v>2312</v>
      </c>
      <c r="F867" s="52" t="s">
        <v>2313</v>
      </c>
      <c r="Q867">
        <f>--ISNUMBER(SEARCH('RC Checklist'!$G$2,A867))</f>
        <v>0</v>
      </c>
      <c r="R867" t="str">
        <f>IF(Q867=1,COUNTIF($Q$2:$Q867,1),"")</f>
        <v/>
      </c>
      <c r="S867" t="str">
        <f>IFERROR(INDEX(ClientInfo[Full Name], MATCH(ROWS($R$2:$R867),ClientInfo[frequency], 0)),"")</f>
        <v/>
      </c>
    </row>
    <row r="868" spans="1:19">
      <c r="A868" t="str">
        <f>TRIM(CONCATENATE(ClientInfo[[#This Row],[First Name]], " ",ClientInfo[[#This Row],[Last Name]]))</f>
        <v>Peg Stessman</v>
      </c>
      <c r="B868" t="s">
        <v>976</v>
      </c>
      <c r="F868" s="52">
        <v>4029906085</v>
      </c>
      <c r="Q868">
        <f>--ISNUMBER(SEARCH('RC Checklist'!$G$2,A868))</f>
        <v>0</v>
      </c>
      <c r="R868" t="str">
        <f>IF(Q868=1,COUNTIF($Q$2:$Q868,1),"")</f>
        <v/>
      </c>
      <c r="S868" t="str">
        <f>IFERROR(INDEX(ClientInfo[Full Name], MATCH(ROWS($R$2:$R868),ClientInfo[frequency], 0)),"")</f>
        <v/>
      </c>
    </row>
    <row r="869" spans="1:19">
      <c r="A869" t="str">
        <f>TRIM(CONCATENATE(ClientInfo[[#This Row],[First Name]], " ",ClientInfo[[#This Row],[Last Name]]))</f>
        <v>PEI WEI</v>
      </c>
      <c r="B869" t="s">
        <v>922</v>
      </c>
      <c r="D869" t="s">
        <v>922</v>
      </c>
      <c r="F869" s="52" t="s">
        <v>923</v>
      </c>
      <c r="Q869">
        <f>--ISNUMBER(SEARCH('RC Checklist'!$G$2,A869))</f>
        <v>0</v>
      </c>
      <c r="R869" t="str">
        <f>IF(Q869=1,COUNTIF($Q$2:$Q869,1),"")</f>
        <v/>
      </c>
      <c r="S869" t="str">
        <f>IFERROR(INDEX(ClientInfo[Full Name], MATCH(ROWS($R$2:$R869),ClientInfo[frequency], 0)),"")</f>
        <v/>
      </c>
    </row>
    <row r="870" spans="1:19">
      <c r="A870" t="str">
        <f>TRIM(CONCATENATE(ClientInfo[[#This Row],[First Name]], " ",ClientInfo[[#This Row],[Last Name]]))</f>
        <v>Pennock Company</v>
      </c>
      <c r="B870" t="s">
        <v>294</v>
      </c>
      <c r="D870" t="s">
        <v>294</v>
      </c>
      <c r="F870" s="52">
        <v>4104666600</v>
      </c>
      <c r="O870" t="s">
        <v>295</v>
      </c>
      <c r="P870" t="s">
        <v>296</v>
      </c>
      <c r="Q870">
        <f>--ISNUMBER(SEARCH('RC Checklist'!$G$2,A870))</f>
        <v>0</v>
      </c>
      <c r="R870" t="str">
        <f>IF(Q870=1,COUNTIF($Q$2:$Q870,1),"")</f>
        <v/>
      </c>
      <c r="S870" t="str">
        <f>IFERROR(INDEX(ClientInfo[Full Name], MATCH(ROWS($R$2:$R870),ClientInfo[frequency], 0)),"")</f>
        <v/>
      </c>
    </row>
    <row r="871" spans="1:19">
      <c r="A871" t="str">
        <f>TRIM(CONCATENATE(ClientInfo[[#This Row],[First Name]], " ",ClientInfo[[#This Row],[Last Name]]))</f>
        <v>Peter &amp; Christina Constantinou</v>
      </c>
      <c r="B871" t="s">
        <v>1291</v>
      </c>
      <c r="C871" t="s">
        <v>1292</v>
      </c>
      <c r="F871" s="52" t="s">
        <v>1293</v>
      </c>
      <c r="H871" t="s">
        <v>1294</v>
      </c>
      <c r="O871" t="s">
        <v>1295</v>
      </c>
      <c r="Q871">
        <f>--ISNUMBER(SEARCH('RC Checklist'!$G$2,A871))</f>
        <v>0</v>
      </c>
      <c r="R871" t="str">
        <f>IF(Q871=1,COUNTIF($Q$2:$Q871,1),"")</f>
        <v/>
      </c>
      <c r="S871" t="str">
        <f>IFERROR(INDEX(ClientInfo[Full Name], MATCH(ROWS($R$2:$R871),ClientInfo[frequency], 0)),"")</f>
        <v/>
      </c>
    </row>
    <row r="872" spans="1:19">
      <c r="A872" t="str">
        <f>TRIM(CONCATENATE(ClientInfo[[#This Row],[First Name]], " ",ClientInfo[[#This Row],[Last Name]]))</f>
        <v>Peter Dreyer</v>
      </c>
      <c r="B872" t="s">
        <v>995</v>
      </c>
      <c r="C872" t="s">
        <v>996</v>
      </c>
      <c r="F872" s="52" t="s">
        <v>997</v>
      </c>
      <c r="G872" s="52">
        <v>3014734466</v>
      </c>
      <c r="Q872">
        <f>--ISNUMBER(SEARCH('RC Checklist'!$G$2,A872))</f>
        <v>0</v>
      </c>
      <c r="R872" t="str">
        <f>IF(Q872=1,COUNTIF($Q$2:$Q872,1),"")</f>
        <v/>
      </c>
      <c r="S872" t="str">
        <f>IFERROR(INDEX(ClientInfo[Full Name], MATCH(ROWS($R$2:$R872),ClientInfo[frequency], 0)),"")</f>
        <v/>
      </c>
    </row>
    <row r="873" spans="1:19">
      <c r="A873" t="str">
        <f>TRIM(CONCATENATE(ClientInfo[[#This Row],[First Name]], " ",ClientInfo[[#This Row],[Last Name]]))</f>
        <v>Peter Smith</v>
      </c>
      <c r="B873" t="s">
        <v>995</v>
      </c>
      <c r="C873" t="s">
        <v>34</v>
      </c>
      <c r="Q873">
        <f>--ISNUMBER(SEARCH('RC Checklist'!$G$2,A873))</f>
        <v>0</v>
      </c>
      <c r="R873" t="str">
        <f>IF(Q873=1,COUNTIF($Q$2:$Q873,1),"")</f>
        <v/>
      </c>
      <c r="S873" t="str">
        <f>IFERROR(INDEX(ClientInfo[Full Name], MATCH(ROWS($R$2:$R873),ClientInfo[frequency], 0)),"")</f>
        <v/>
      </c>
    </row>
    <row r="874" spans="1:19">
      <c r="A874" t="str">
        <f>TRIM(CONCATENATE(ClientInfo[[#This Row],[First Name]], " ",ClientInfo[[#This Row],[Last Name]]))</f>
        <v>Pf changs</v>
      </c>
      <c r="B874" t="s">
        <v>2345</v>
      </c>
      <c r="C874" t="s">
        <v>2346</v>
      </c>
      <c r="F874" s="52">
        <v>4103725250</v>
      </c>
      <c r="Q874">
        <f>--ISNUMBER(SEARCH('RC Checklist'!$G$2,A874))</f>
        <v>0</v>
      </c>
      <c r="R874" t="str">
        <f>IF(Q874=1,COUNTIF($Q$2:$Q874,1),"")</f>
        <v/>
      </c>
      <c r="S874" t="str">
        <f>IFERROR(INDEX(ClientInfo[Full Name], MATCH(ROWS($R$2:$R874),ClientInfo[frequency], 0)),"")</f>
        <v/>
      </c>
    </row>
    <row r="875" spans="1:19">
      <c r="A875" t="str">
        <f>TRIM(CONCATENATE(ClientInfo[[#This Row],[First Name]], " ",ClientInfo[[#This Row],[Last Name]]))</f>
        <v>Pharmacy</v>
      </c>
      <c r="B875" t="s">
        <v>2019</v>
      </c>
      <c r="F875" s="52">
        <v>4102528901</v>
      </c>
      <c r="Q875">
        <f>--ISNUMBER(SEARCH('RC Checklist'!$G$2,A875))</f>
        <v>0</v>
      </c>
      <c r="R875" t="str">
        <f>IF(Q875=1,COUNTIF($Q$2:$Q875,1),"")</f>
        <v/>
      </c>
      <c r="S875" t="str">
        <f>IFERROR(INDEX(ClientInfo[Full Name], MATCH(ROWS($R$2:$R875),ClientInfo[frequency], 0)),"")</f>
        <v/>
      </c>
    </row>
    <row r="876" spans="1:19">
      <c r="A876" t="str">
        <f>TRIM(CONCATENATE(ClientInfo[[#This Row],[First Name]], " ",ClientInfo[[#This Row],[Last Name]]))</f>
        <v>Phil lisa</v>
      </c>
      <c r="B876" t="s">
        <v>2536</v>
      </c>
      <c r="C876" t="s">
        <v>2537</v>
      </c>
      <c r="F876" s="52">
        <v>4108933519</v>
      </c>
      <c r="G876" s="52">
        <v>4106052605</v>
      </c>
      <c r="Q876">
        <f>--ISNUMBER(SEARCH('RC Checklist'!$G$2,A876))</f>
        <v>0</v>
      </c>
      <c r="R876" t="str">
        <f>IF(Q876=1,COUNTIF($Q$2:$Q876,1),"")</f>
        <v/>
      </c>
      <c r="S876" t="str">
        <f>IFERROR(INDEX(ClientInfo[Full Name], MATCH(ROWS($R$2:$R876),ClientInfo[frequency], 0)),"")</f>
        <v/>
      </c>
    </row>
    <row r="877" spans="1:19">
      <c r="A877" t="str">
        <f>TRIM(CONCATENATE(ClientInfo[[#This Row],[First Name]], " ",ClientInfo[[#This Row],[Last Name]]))</f>
        <v>Prestige Design Build Llc</v>
      </c>
      <c r="B877" t="s">
        <v>828</v>
      </c>
      <c r="D877" t="s">
        <v>828</v>
      </c>
      <c r="F877" s="52" t="s">
        <v>447</v>
      </c>
      <c r="P877" t="s">
        <v>829</v>
      </c>
      <c r="Q877">
        <f>--ISNUMBER(SEARCH('RC Checklist'!$G$2,A877))</f>
        <v>0</v>
      </c>
      <c r="R877" t="str">
        <f>IF(Q877=1,COUNTIF($Q$2:$Q877,1),"")</f>
        <v/>
      </c>
      <c r="S877" t="str">
        <f>IFERROR(INDEX(ClientInfo[Full Name], MATCH(ROWS($R$2:$R877),ClientInfo[frequency], 0)),"")</f>
        <v/>
      </c>
    </row>
    <row r="878" spans="1:19">
      <c r="A878" t="str">
        <f>TRIM(CONCATENATE(ClientInfo[[#This Row],[First Name]], " ",ClientInfo[[#This Row],[Last Name]]))</f>
        <v>Print Shack</v>
      </c>
      <c r="B878" t="s">
        <v>578</v>
      </c>
      <c r="D878" t="s">
        <v>578</v>
      </c>
      <c r="F878" s="52" t="s">
        <v>579</v>
      </c>
      <c r="P878" t="s">
        <v>580</v>
      </c>
      <c r="Q878">
        <f>--ISNUMBER(SEARCH('RC Checklist'!$G$2,A878))</f>
        <v>0</v>
      </c>
      <c r="R878" t="str">
        <f>IF(Q878=1,COUNTIF($Q$2:$Q878,1),"")</f>
        <v/>
      </c>
      <c r="S878" t="str">
        <f>IFERROR(INDEX(ClientInfo[Full Name], MATCH(ROWS($R$2:$R878),ClientInfo[frequency], 0)),"")</f>
        <v/>
      </c>
    </row>
    <row r="879" spans="1:19">
      <c r="A879" t="str">
        <f>TRIM(CONCATENATE(ClientInfo[[#This Row],[First Name]], " ",ClientInfo[[#This Row],[Last Name]]))</f>
        <v>print shack</v>
      </c>
      <c r="B879" t="s">
        <v>2817</v>
      </c>
      <c r="C879" t="s">
        <v>2818</v>
      </c>
      <c r="H879" t="s">
        <v>2819</v>
      </c>
      <c r="Q879">
        <f>--ISNUMBER(SEARCH('RC Checklist'!$G$2,A879))</f>
        <v>0</v>
      </c>
      <c r="R879" t="str">
        <f>IF(Q879=1,COUNTIF($Q$2:$Q879,1),"")</f>
        <v/>
      </c>
      <c r="S879" t="str">
        <f>IFERROR(INDEX(ClientInfo[Full Name], MATCH(ROWS($R$2:$R879),ClientInfo[frequency], 0)),"")</f>
        <v/>
      </c>
    </row>
    <row r="880" spans="1:19">
      <c r="A880" t="str">
        <f>TRIM(CONCATENATE(ClientInfo[[#This Row],[First Name]], " ",ClientInfo[[#This Row],[Last Name]]))</f>
        <v>Priya Wagle</v>
      </c>
      <c r="B880" t="s">
        <v>664</v>
      </c>
      <c r="C880" t="s">
        <v>665</v>
      </c>
      <c r="F880" s="52">
        <v>18452345995</v>
      </c>
      <c r="Q880">
        <f>--ISNUMBER(SEARCH('RC Checklist'!$G$2,A880))</f>
        <v>0</v>
      </c>
      <c r="R880" t="str">
        <f>IF(Q880=1,COUNTIF($Q$2:$Q880,1),"")</f>
        <v/>
      </c>
      <c r="S880" t="str">
        <f>IFERROR(INDEX(ClientInfo[Full Name], MATCH(ROWS($R$2:$R880),ClientInfo[frequency], 0)),"")</f>
        <v/>
      </c>
    </row>
    <row r="881" spans="1:19">
      <c r="A881" t="str">
        <f>TRIM(CONCATENATE(ClientInfo[[#This Row],[First Name]], " ",ClientInfo[[#This Row],[Last Name]]))</f>
        <v>R.C.</v>
      </c>
      <c r="B881" t="s">
        <v>763</v>
      </c>
      <c r="F881" s="52" t="s">
        <v>764</v>
      </c>
      <c r="Q881">
        <f>--ISNUMBER(SEARCH('RC Checklist'!$G$2,A881))</f>
        <v>0</v>
      </c>
      <c r="R881" t="str">
        <f>IF(Q881=1,COUNTIF($Q$2:$Q881,1),"")</f>
        <v/>
      </c>
      <c r="S881" t="str">
        <f>IFERROR(INDEX(ClientInfo[Full Name], MATCH(ROWS($R$2:$R881),ClientInfo[frequency], 0)),"")</f>
        <v/>
      </c>
    </row>
    <row r="882" spans="1:19">
      <c r="A882" t="str">
        <f>TRIM(CONCATENATE(ClientInfo[[#This Row],[First Name]], " ",ClientInfo[[#This Row],[Last Name]]))</f>
        <v>Rabecca Watts</v>
      </c>
      <c r="B882" t="s">
        <v>1298</v>
      </c>
      <c r="C882" t="s">
        <v>1299</v>
      </c>
      <c r="F882" s="52" t="s">
        <v>1300</v>
      </c>
      <c r="P882" t="s">
        <v>1301</v>
      </c>
      <c r="Q882">
        <f>--ISNUMBER(SEARCH('RC Checklist'!$G$2,A882))</f>
        <v>0</v>
      </c>
      <c r="R882" t="str">
        <f>IF(Q882=1,COUNTIF($Q$2:$Q882,1),"")</f>
        <v/>
      </c>
      <c r="S882" t="str">
        <f>IFERROR(INDEX(ClientInfo[Full Name], MATCH(ROWS($R$2:$R882),ClientInfo[frequency], 0)),"")</f>
        <v/>
      </c>
    </row>
    <row r="883" spans="1:19">
      <c r="A883" t="str">
        <f>TRIM(CONCATENATE(ClientInfo[[#This Row],[First Name]], " ",ClientInfo[[#This Row],[Last Name]]))</f>
        <v>Racheal Grant</v>
      </c>
      <c r="B883" t="s">
        <v>2232</v>
      </c>
      <c r="C883" t="s">
        <v>2233</v>
      </c>
      <c r="D883" t="s">
        <v>2234</v>
      </c>
      <c r="F883" s="52" t="s">
        <v>2235</v>
      </c>
      <c r="Q883">
        <f>--ISNUMBER(SEARCH('RC Checklist'!$G$2,A883))</f>
        <v>0</v>
      </c>
      <c r="R883" t="str">
        <f>IF(Q883=1,COUNTIF($Q$2:$Q883,1),"")</f>
        <v/>
      </c>
      <c r="S883" t="str">
        <f>IFERROR(INDEX(ClientInfo[Full Name], MATCH(ROWS($R$2:$R883),ClientInfo[frequency], 0)),"")</f>
        <v/>
      </c>
    </row>
    <row r="884" spans="1:19">
      <c r="A884" t="str">
        <f>TRIM(CONCATENATE(ClientInfo[[#This Row],[First Name]], " ",ClientInfo[[#This Row],[Last Name]]))</f>
        <v>Raghael</v>
      </c>
      <c r="B884" t="s">
        <v>2067</v>
      </c>
      <c r="F884" s="52" t="s">
        <v>2068</v>
      </c>
      <c r="Q884">
        <f>--ISNUMBER(SEARCH('RC Checklist'!$G$2,A884))</f>
        <v>0</v>
      </c>
      <c r="R884" t="str">
        <f>IF(Q884=1,COUNTIF($Q$2:$Q884,1),"")</f>
        <v/>
      </c>
      <c r="S884" t="str">
        <f>IFERROR(INDEX(ClientInfo[Full Name], MATCH(ROWS($R$2:$R884),ClientInfo[frequency], 0)),"")</f>
        <v/>
      </c>
    </row>
    <row r="885" spans="1:19">
      <c r="A885" t="str">
        <f>TRIM(CONCATENATE(ClientInfo[[#This Row],[First Name]], " ",ClientInfo[[#This Row],[Last Name]]))</f>
        <v>Ralph</v>
      </c>
      <c r="B885" t="s">
        <v>2700</v>
      </c>
      <c r="D885" t="s">
        <v>2701</v>
      </c>
      <c r="F885" s="52">
        <v>13056850419</v>
      </c>
      <c r="H885" t="s">
        <v>2702</v>
      </c>
      <c r="Q885">
        <f>--ISNUMBER(SEARCH('RC Checklist'!$G$2,A885))</f>
        <v>0</v>
      </c>
      <c r="R885" t="str">
        <f>IF(Q885=1,COUNTIF($Q$2:$Q885,1),"")</f>
        <v/>
      </c>
      <c r="S885" t="str">
        <f>IFERROR(INDEX(ClientInfo[Full Name], MATCH(ROWS($R$2:$R885),ClientInfo[frequency], 0)),"")</f>
        <v/>
      </c>
    </row>
    <row r="886" spans="1:19">
      <c r="A886" t="str">
        <f>TRIM(CONCATENATE(ClientInfo[[#This Row],[First Name]], " ",ClientInfo[[#This Row],[Last Name]]))</f>
        <v>Randy</v>
      </c>
      <c r="B886" t="s">
        <v>1537</v>
      </c>
      <c r="F886" s="52">
        <v>14438662161</v>
      </c>
      <c r="Q886">
        <f>--ISNUMBER(SEARCH('RC Checklist'!$G$2,A886))</f>
        <v>0</v>
      </c>
      <c r="R886" t="str">
        <f>IF(Q886=1,COUNTIF($Q$2:$Q886,1),"")</f>
        <v/>
      </c>
      <c r="S886" t="str">
        <f>IFERROR(INDEX(ClientInfo[Full Name], MATCH(ROWS($R$2:$R886),ClientInfo[frequency], 0)),"")</f>
        <v/>
      </c>
    </row>
    <row r="887" spans="1:19">
      <c r="A887" t="str">
        <f>TRIM(CONCATENATE(ClientInfo[[#This Row],[First Name]], " ",ClientInfo[[#This Row],[Last Name]]))</f>
        <v>Randy bodyshop</v>
      </c>
      <c r="B887" t="s">
        <v>1537</v>
      </c>
      <c r="C887" t="s">
        <v>1538</v>
      </c>
      <c r="F887" s="52">
        <v>4439926635</v>
      </c>
      <c r="Q887">
        <f>--ISNUMBER(SEARCH('RC Checklist'!$G$2,A887))</f>
        <v>0</v>
      </c>
      <c r="R887" t="str">
        <f>IF(Q887=1,COUNTIF($Q$2:$Q887,1),"")</f>
        <v/>
      </c>
      <c r="S887" t="str">
        <f>IFERROR(INDEX(ClientInfo[Full Name], MATCH(ROWS($R$2:$R887),ClientInfo[frequency], 0)),"")</f>
        <v/>
      </c>
    </row>
    <row r="888" spans="1:19">
      <c r="A888" t="str">
        <f>TRIM(CONCATENATE(ClientInfo[[#This Row],[First Name]], " ",ClientInfo[[#This Row],[Last Name]]))</f>
        <v>Randy Cotteleer</v>
      </c>
      <c r="B888" t="s">
        <v>1537</v>
      </c>
      <c r="C888" t="s">
        <v>2799</v>
      </c>
      <c r="D888" t="s">
        <v>2853</v>
      </c>
      <c r="F888" s="52" t="s">
        <v>2854</v>
      </c>
      <c r="Q888">
        <f>--ISNUMBER(SEARCH('RC Checklist'!$G$2,A888))</f>
        <v>0</v>
      </c>
      <c r="R888" t="str">
        <f>IF(Q888=1,COUNTIF($Q$2:$Q888,1),"")</f>
        <v/>
      </c>
      <c r="S888" t="str">
        <f>IFERROR(INDEX(ClientInfo[Full Name], MATCH(ROWS($R$2:$R888),ClientInfo[frequency], 0)),"")</f>
        <v/>
      </c>
    </row>
    <row r="889" spans="1:19">
      <c r="A889" t="str">
        <f>TRIM(CONCATENATE(ClientInfo[[#This Row],[First Name]], " ",ClientInfo[[#This Row],[Last Name]]))</f>
        <v>Randy L. Nunnallylsra</v>
      </c>
      <c r="B889" t="s">
        <v>703</v>
      </c>
      <c r="C889" t="s">
        <v>704</v>
      </c>
      <c r="E889" t="s">
        <v>705</v>
      </c>
      <c r="F889" s="52">
        <v>4108761950</v>
      </c>
      <c r="H889" t="s">
        <v>706</v>
      </c>
      <c r="O889" t="s">
        <v>707</v>
      </c>
      <c r="Q889">
        <f>--ISNUMBER(SEARCH('RC Checklist'!$G$2,A889))</f>
        <v>0</v>
      </c>
      <c r="R889" t="str">
        <f>IF(Q889=1,COUNTIF($Q$2:$Q889,1),"")</f>
        <v/>
      </c>
      <c r="S889" t="str">
        <f>IFERROR(INDEX(ClientInfo[Full Name], MATCH(ROWS($R$2:$R889),ClientInfo[frequency], 0)),"")</f>
        <v/>
      </c>
    </row>
    <row r="890" spans="1:19">
      <c r="A890" t="str">
        <f>TRIM(CONCATENATE(ClientInfo[[#This Row],[First Name]], " ",ClientInfo[[#This Row],[Last Name]]))</f>
        <v>Randy/marisa Cotteleer</v>
      </c>
      <c r="B890" t="s">
        <v>2798</v>
      </c>
      <c r="C890" t="s">
        <v>2799</v>
      </c>
      <c r="F890" s="52">
        <v>4122530930</v>
      </c>
      <c r="H890" t="s">
        <v>2800</v>
      </c>
      <c r="P890" t="s">
        <v>2801</v>
      </c>
      <c r="Q890">
        <f>--ISNUMBER(SEARCH('RC Checklist'!$G$2,A890))</f>
        <v>0</v>
      </c>
      <c r="R890" t="str">
        <f>IF(Q890=1,COUNTIF($Q$2:$Q890,1),"")</f>
        <v/>
      </c>
      <c r="S890" t="str">
        <f>IFERROR(INDEX(ClientInfo[Full Name], MATCH(ROWS($R$2:$R890),ClientInfo[frequency], 0)),"")</f>
        <v/>
      </c>
    </row>
    <row r="891" spans="1:19">
      <c r="A891" t="str">
        <f>TRIM(CONCATENATE(ClientInfo[[#This Row],[First Name]], " ",ClientInfo[[#This Row],[Last Name]]))</f>
        <v>Raphael</v>
      </c>
      <c r="B891" t="s">
        <v>1092</v>
      </c>
      <c r="F891" s="52">
        <v>4439569822</v>
      </c>
      <c r="Q891">
        <f>--ISNUMBER(SEARCH('RC Checklist'!$G$2,A891))</f>
        <v>0</v>
      </c>
      <c r="R891" t="str">
        <f>IF(Q891=1,COUNTIF($Q$2:$Q891,1),"")</f>
        <v/>
      </c>
      <c r="S891" t="str">
        <f>IFERROR(INDEX(ClientInfo[Full Name], MATCH(ROWS($R$2:$R891),ClientInfo[frequency], 0)),"")</f>
        <v/>
      </c>
    </row>
    <row r="892" spans="1:19">
      <c r="A892" t="str">
        <f>TRIM(CONCATENATE(ClientInfo[[#This Row],[First Name]], " ",ClientInfo[[#This Row],[Last Name]]))</f>
        <v>Ray Mcgirk</v>
      </c>
      <c r="B892" t="s">
        <v>2081</v>
      </c>
      <c r="C892" t="s">
        <v>2082</v>
      </c>
      <c r="F892" s="52" t="s">
        <v>2083</v>
      </c>
      <c r="Q892">
        <f>--ISNUMBER(SEARCH('RC Checklist'!$G$2,A892))</f>
        <v>0</v>
      </c>
      <c r="R892" t="str">
        <f>IF(Q892=1,COUNTIF($Q$2:$Q892,1),"")</f>
        <v/>
      </c>
      <c r="S892" t="str">
        <f>IFERROR(INDEX(ClientInfo[Full Name], MATCH(ROWS($R$2:$R892),ClientInfo[frequency], 0)),"")</f>
        <v/>
      </c>
    </row>
    <row r="893" spans="1:19">
      <c r="A893" t="str">
        <f>TRIM(CONCATENATE(ClientInfo[[#This Row],[First Name]], " ",ClientInfo[[#This Row],[Last Name]]))</f>
        <v>Raymond Unterbrink</v>
      </c>
      <c r="B893" t="s">
        <v>1177</v>
      </c>
      <c r="C893" t="s">
        <v>1178</v>
      </c>
      <c r="F893" s="52">
        <v>14104992581</v>
      </c>
      <c r="Q893">
        <f>--ISNUMBER(SEARCH('RC Checklist'!$G$2,A893))</f>
        <v>0</v>
      </c>
      <c r="R893" t="str">
        <f>IF(Q893=1,COUNTIF($Q$2:$Q893,1),"")</f>
        <v/>
      </c>
      <c r="S893" t="str">
        <f>IFERROR(INDEX(ClientInfo[Full Name], MATCH(ROWS($R$2:$R893),ClientInfo[frequency], 0)),"")</f>
        <v/>
      </c>
    </row>
    <row r="894" spans="1:19">
      <c r="A894" t="str">
        <f>TRIM(CONCATENATE(ClientInfo[[#This Row],[First Name]], " ",ClientInfo[[#This Row],[Last Name]]))</f>
        <v>Rc Fannin</v>
      </c>
      <c r="B894" t="s">
        <v>446</v>
      </c>
      <c r="C894" t="s">
        <v>214</v>
      </c>
      <c r="F894" s="52" t="s">
        <v>447</v>
      </c>
      <c r="G894" s="52" t="s">
        <v>3048</v>
      </c>
      <c r="I894" t="s">
        <v>3049</v>
      </c>
      <c r="J894" t="s">
        <v>2990</v>
      </c>
      <c r="K894" t="s">
        <v>2989</v>
      </c>
      <c r="L894">
        <v>21120</v>
      </c>
      <c r="Q894">
        <f>--ISNUMBER(SEARCH('RC Checklist'!$G$2,A894))</f>
        <v>0</v>
      </c>
      <c r="R894" t="str">
        <f>IF(Q894=1,COUNTIF($Q$2:$Q894,1),"")</f>
        <v/>
      </c>
      <c r="S894" t="str">
        <f>IFERROR(INDEX(ClientInfo[Full Name], MATCH(ROWS($R$2:$R894),ClientInfo[frequency], 0)),"")</f>
        <v/>
      </c>
    </row>
    <row r="895" spans="1:19">
      <c r="A895" t="str">
        <f>TRIM(CONCATENATE(ClientInfo[[#This Row],[First Name]], " ",ClientInfo[[#This Row],[Last Name]]))</f>
        <v>Rebounders</v>
      </c>
      <c r="B895" t="s">
        <v>1369</v>
      </c>
      <c r="F895" s="52" t="s">
        <v>1370</v>
      </c>
      <c r="Q895">
        <f>--ISNUMBER(SEARCH('RC Checklist'!$G$2,A895))</f>
        <v>0</v>
      </c>
      <c r="R895" t="str">
        <f>IF(Q895=1,COUNTIF($Q$2:$Q895,1),"")</f>
        <v/>
      </c>
      <c r="S895" t="str">
        <f>IFERROR(INDEX(ClientInfo[Full Name], MATCH(ROWS($R$2:$R895),ClientInfo[frequency], 0)),"")</f>
        <v/>
      </c>
    </row>
    <row r="896" spans="1:19">
      <c r="A896" t="str">
        <f>TRIM(CONCATENATE(ClientInfo[[#This Row],[First Name]], " ",ClientInfo[[#This Row],[Last Name]]))</f>
        <v>Red Bull Transport</v>
      </c>
      <c r="B896" t="s">
        <v>2045</v>
      </c>
      <c r="D896" t="s">
        <v>2045</v>
      </c>
      <c r="F896" s="52" t="s">
        <v>2046</v>
      </c>
      <c r="P896" t="s">
        <v>629</v>
      </c>
      <c r="Q896">
        <f>--ISNUMBER(SEARCH('RC Checklist'!$G$2,A896))</f>
        <v>0</v>
      </c>
      <c r="R896" t="str">
        <f>IF(Q896=1,COUNTIF($Q$2:$Q896,1),"")</f>
        <v/>
      </c>
      <c r="S896" t="str">
        <f>IFERROR(INDEX(ClientInfo[Full Name], MATCH(ROWS($R$2:$R896),ClientInfo[frequency], 0)),"")</f>
        <v/>
      </c>
    </row>
    <row r="897" spans="1:19">
      <c r="A897" t="str">
        <f>TRIM(CONCATENATE(ClientInfo[[#This Row],[First Name]], " ",ClientInfo[[#This Row],[Last Name]]))</f>
        <v>Reisterstown Lumber</v>
      </c>
      <c r="B897" t="s">
        <v>1580</v>
      </c>
      <c r="D897" t="s">
        <v>1580</v>
      </c>
      <c r="H897" t="s">
        <v>1581</v>
      </c>
      <c r="O897" t="s">
        <v>1582</v>
      </c>
      <c r="Q897">
        <f>--ISNUMBER(SEARCH('RC Checklist'!$G$2,A897))</f>
        <v>0</v>
      </c>
      <c r="R897" t="str">
        <f>IF(Q897=1,COUNTIF($Q$2:$Q897,1),"")</f>
        <v/>
      </c>
      <c r="S897" t="str">
        <f>IFERROR(INDEX(ClientInfo[Full Name], MATCH(ROWS($R$2:$R897),ClientInfo[frequency], 0)),"")</f>
        <v/>
      </c>
    </row>
    <row r="898" spans="1:19">
      <c r="A898" t="str">
        <f>TRIM(CONCATENATE(ClientInfo[[#This Row],[First Name]], " ",ClientInfo[[#This Row],[Last Name]]))</f>
        <v>Reliable roll off</v>
      </c>
      <c r="B898" t="s">
        <v>392</v>
      </c>
      <c r="C898" t="s">
        <v>393</v>
      </c>
      <c r="F898" s="52">
        <v>4103918727</v>
      </c>
      <c r="Q898">
        <f>--ISNUMBER(SEARCH('RC Checklist'!$G$2,A898))</f>
        <v>0</v>
      </c>
      <c r="R898" t="str">
        <f>IF(Q898=1,COUNTIF($Q$2:$Q898,1),"")</f>
        <v/>
      </c>
      <c r="S898" t="str">
        <f>IFERROR(INDEX(ClientInfo[Full Name], MATCH(ROWS($R$2:$R898),ClientInfo[frequency], 0)),"")</f>
        <v/>
      </c>
    </row>
    <row r="899" spans="1:19">
      <c r="A899" t="str">
        <f>TRIM(CONCATENATE(ClientInfo[[#This Row],[First Name]], " ",ClientInfo[[#This Row],[Last Name]]))</f>
        <v>Renata</v>
      </c>
      <c r="B899" t="s">
        <v>1130</v>
      </c>
      <c r="F899" s="52" t="s">
        <v>1131</v>
      </c>
      <c r="Q899">
        <f>--ISNUMBER(SEARCH('RC Checklist'!$G$2,A899))</f>
        <v>0</v>
      </c>
      <c r="R899" t="str">
        <f>IF(Q899=1,COUNTIF($Q$2:$Q899,1),"")</f>
        <v/>
      </c>
      <c r="S899" t="str">
        <f>IFERROR(INDEX(ClientInfo[Full Name], MATCH(ROWS($R$2:$R899),ClientInfo[frequency], 0)),"")</f>
        <v/>
      </c>
    </row>
    <row r="900" spans="1:19">
      <c r="A900" t="str">
        <f>TRIM(CONCATENATE(ClientInfo[[#This Row],[First Name]], " ",ClientInfo[[#This Row],[Last Name]]))</f>
        <v>Renee</v>
      </c>
      <c r="B900" t="s">
        <v>2483</v>
      </c>
      <c r="F900" s="52">
        <v>3013468509</v>
      </c>
      <c r="Q900">
        <f>--ISNUMBER(SEARCH('RC Checklist'!$G$2,A900))</f>
        <v>0</v>
      </c>
      <c r="R900" t="str">
        <f>IF(Q900=1,COUNTIF($Q$2:$Q900,1),"")</f>
        <v/>
      </c>
      <c r="S900" t="str">
        <f>IFERROR(INDEX(ClientInfo[Full Name], MATCH(ROWS($R$2:$R900),ClientInfo[frequency], 0)),"")</f>
        <v/>
      </c>
    </row>
    <row r="901" spans="1:19">
      <c r="A901" t="str">
        <f>TRIM(CONCATENATE(ClientInfo[[#This Row],[First Name]], " ",ClientInfo[[#This Row],[Last Name]]))</f>
        <v>Renee Hammand</v>
      </c>
      <c r="B901" t="s">
        <v>2483</v>
      </c>
      <c r="C901" t="s">
        <v>2606</v>
      </c>
      <c r="Q901">
        <f>--ISNUMBER(SEARCH('RC Checklist'!$G$2,A901))</f>
        <v>0</v>
      </c>
      <c r="R901" t="str">
        <f>IF(Q901=1,COUNTIF($Q$2:$Q901,1),"")</f>
        <v/>
      </c>
      <c r="S901" t="str">
        <f>IFERROR(INDEX(ClientInfo[Full Name], MATCH(ROWS($R$2:$R901),ClientInfo[frequency], 0)),"")</f>
        <v/>
      </c>
    </row>
    <row r="902" spans="1:19">
      <c r="A902" t="str">
        <f>TRIM(CONCATENATE(ClientInfo[[#This Row],[First Name]], " ",ClientInfo[[#This Row],[Last Name]]))</f>
        <v>Renee Hammond</v>
      </c>
      <c r="B902" t="s">
        <v>1936</v>
      </c>
      <c r="F902" s="52">
        <v>4109350518</v>
      </c>
      <c r="Q902">
        <f>--ISNUMBER(SEARCH('RC Checklist'!$G$2,A902))</f>
        <v>0</v>
      </c>
      <c r="R902" t="str">
        <f>IF(Q902=1,COUNTIF($Q$2:$Q902,1),"")</f>
        <v/>
      </c>
      <c r="S902" t="str">
        <f>IFERROR(INDEX(ClientInfo[Full Name], MATCH(ROWS($R$2:$R902),ClientInfo[frequency], 0)),"")</f>
        <v/>
      </c>
    </row>
    <row r="903" spans="1:19">
      <c r="A903" t="str">
        <f>TRIM(CONCATENATE(ClientInfo[[#This Row],[First Name]], " ",ClientInfo[[#This Row],[Last Name]]))</f>
        <v>Rexel</v>
      </c>
      <c r="B903" t="s">
        <v>1153</v>
      </c>
      <c r="D903" t="s">
        <v>1153</v>
      </c>
      <c r="F903" s="52" t="s">
        <v>1154</v>
      </c>
      <c r="Q903">
        <f>--ISNUMBER(SEARCH('RC Checklist'!$G$2,A903))</f>
        <v>0</v>
      </c>
      <c r="R903" t="str">
        <f>IF(Q903=1,COUNTIF($Q$2:$Q903,1),"")</f>
        <v/>
      </c>
      <c r="S903" t="str">
        <f>IFERROR(INDEX(ClientInfo[Full Name], MATCH(ROWS($R$2:$R903),ClientInfo[frequency], 0)),"")</f>
        <v/>
      </c>
    </row>
    <row r="904" spans="1:19">
      <c r="A904" t="str">
        <f>TRIM(CONCATENATE(ClientInfo[[#This Row],[First Name]], " ",ClientInfo[[#This Row],[Last Name]]))</f>
        <v>Ricci Depesqualy</v>
      </c>
      <c r="B904" t="s">
        <v>2253</v>
      </c>
      <c r="D904" t="s">
        <v>2254</v>
      </c>
      <c r="F904" s="52" t="s">
        <v>2255</v>
      </c>
      <c r="Q904">
        <f>--ISNUMBER(SEARCH('RC Checklist'!$G$2,A904))</f>
        <v>0</v>
      </c>
      <c r="R904" t="str">
        <f>IF(Q904=1,COUNTIF($Q$2:$Q904,1),"")</f>
        <v/>
      </c>
      <c r="S904" t="str">
        <f>IFERROR(INDEX(ClientInfo[Full Name], MATCH(ROWS($R$2:$R904),ClientInfo[frequency], 0)),"")</f>
        <v/>
      </c>
    </row>
    <row r="905" spans="1:19">
      <c r="A905" t="str">
        <f>TRIM(CONCATENATE(ClientInfo[[#This Row],[First Name]], " ",ClientInfo[[#This Row],[Last Name]]))</f>
        <v>Rich &amp; Kristin Elliot</v>
      </c>
      <c r="B905" t="s">
        <v>436</v>
      </c>
      <c r="C905" t="s">
        <v>437</v>
      </c>
      <c r="D905" t="s">
        <v>438</v>
      </c>
      <c r="F905" s="52" t="s">
        <v>439</v>
      </c>
      <c r="G905" s="52" t="s">
        <v>440</v>
      </c>
      <c r="H905" t="s">
        <v>441</v>
      </c>
      <c r="O905" t="s">
        <v>442</v>
      </c>
      <c r="Q905">
        <f>--ISNUMBER(SEARCH('RC Checklist'!$G$2,A905))</f>
        <v>0</v>
      </c>
      <c r="R905" t="str">
        <f>IF(Q905=1,COUNTIF($Q$2:$Q905,1),"")</f>
        <v/>
      </c>
      <c r="S905" t="str">
        <f>IFERROR(INDEX(ClientInfo[Full Name], MATCH(ROWS($R$2:$R905),ClientInfo[frequency], 0)),"")</f>
        <v/>
      </c>
    </row>
    <row r="906" spans="1:19">
      <c r="A906" t="str">
        <f>TRIM(CONCATENATE(ClientInfo[[#This Row],[First Name]], " ",ClientInfo[[#This Row],[Last Name]]))</f>
        <v>Rich Oliver</v>
      </c>
      <c r="B906" t="s">
        <v>765</v>
      </c>
      <c r="C906" t="s">
        <v>766</v>
      </c>
      <c r="F906" s="52" t="s">
        <v>767</v>
      </c>
      <c r="Q906">
        <f>--ISNUMBER(SEARCH('RC Checklist'!$G$2,A906))</f>
        <v>0</v>
      </c>
      <c r="R906" t="str">
        <f>IF(Q906=1,COUNTIF($Q$2:$Q906,1),"")</f>
        <v/>
      </c>
      <c r="S906" t="str">
        <f>IFERROR(INDEX(ClientInfo[Full Name], MATCH(ROWS($R$2:$R906),ClientInfo[frequency], 0)),"")</f>
        <v/>
      </c>
    </row>
    <row r="907" spans="1:19">
      <c r="A907" t="str">
        <f>TRIM(CONCATENATE(ClientInfo[[#This Row],[First Name]], " ",ClientInfo[[#This Row],[Last Name]]))</f>
        <v>Richard â€œRCâ€ Fannin</v>
      </c>
      <c r="B907" t="s">
        <v>213</v>
      </c>
      <c r="C907" t="s">
        <v>214</v>
      </c>
      <c r="D907" t="s">
        <v>215</v>
      </c>
      <c r="H907" t="s">
        <v>216</v>
      </c>
      <c r="I907" t="s">
        <v>2988</v>
      </c>
      <c r="J907" t="s">
        <v>2990</v>
      </c>
      <c r="K907" t="s">
        <v>2989</v>
      </c>
      <c r="L907">
        <v>21220</v>
      </c>
      <c r="P907" t="s">
        <v>217</v>
      </c>
      <c r="Q907">
        <f>--ISNUMBER(SEARCH('RC Checklist'!$G$2,A907))</f>
        <v>0</v>
      </c>
      <c r="R907" t="str">
        <f>IF(Q907=1,COUNTIF($Q$2:$Q907,1),"")</f>
        <v/>
      </c>
      <c r="S907" t="str">
        <f>IFERROR(INDEX(ClientInfo[Full Name], MATCH(ROWS($R$2:$R907),ClientInfo[frequency], 0)),"")</f>
        <v/>
      </c>
    </row>
    <row r="908" spans="1:19">
      <c r="A908" t="str">
        <f>TRIM(CONCATENATE(ClientInfo[[#This Row],[First Name]], " ",ClientInfo[[#This Row],[Last Name]]))</f>
        <v>Richard Kincaid</v>
      </c>
      <c r="B908" t="s">
        <v>82</v>
      </c>
      <c r="C908" t="s">
        <v>1752</v>
      </c>
      <c r="F908" s="52" t="s">
        <v>2202</v>
      </c>
      <c r="Q908">
        <f>--ISNUMBER(SEARCH('RC Checklist'!$G$2,A908))</f>
        <v>0</v>
      </c>
      <c r="R908" t="str">
        <f>IF(Q908=1,COUNTIF($Q$2:$Q908,1),"")</f>
        <v/>
      </c>
      <c r="S908" t="str">
        <f>IFERROR(INDEX(ClientInfo[Full Name], MATCH(ROWS($R$2:$R908),ClientInfo[frequency], 0)),"")</f>
        <v/>
      </c>
    </row>
    <row r="909" spans="1:19">
      <c r="A909" t="str">
        <f>TRIM(CONCATENATE(ClientInfo[[#This Row],[First Name]], " ",ClientInfo[[#This Row],[Last Name]]))</f>
        <v>Richard Rohlfs</v>
      </c>
      <c r="B909" t="s">
        <v>82</v>
      </c>
      <c r="C909" t="s">
        <v>83</v>
      </c>
      <c r="E909" t="s">
        <v>84</v>
      </c>
      <c r="F909" s="52">
        <v>4108873953</v>
      </c>
      <c r="H909" t="s">
        <v>85</v>
      </c>
      <c r="O909" t="s">
        <v>86</v>
      </c>
      <c r="Q909">
        <f>--ISNUMBER(SEARCH('RC Checklist'!$G$2,A909))</f>
        <v>0</v>
      </c>
      <c r="R909" t="str">
        <f>IF(Q909=1,COUNTIF($Q$2:$Q909,1),"")</f>
        <v/>
      </c>
      <c r="S909" t="str">
        <f>IFERROR(INDEX(ClientInfo[Full Name], MATCH(ROWS($R$2:$R909),ClientInfo[frequency], 0)),"")</f>
        <v/>
      </c>
    </row>
    <row r="910" spans="1:19">
      <c r="A910" t="str">
        <f>TRIM(CONCATENATE(ClientInfo[[#This Row],[First Name]], " ",ClientInfo[[#This Row],[Last Name]]))</f>
        <v>Rick &amp; Beezy Childs</v>
      </c>
      <c r="B910" t="s">
        <v>338</v>
      </c>
      <c r="C910" t="s">
        <v>339</v>
      </c>
      <c r="F910" s="52">
        <v>6178645503</v>
      </c>
      <c r="Q910">
        <f>--ISNUMBER(SEARCH('RC Checklist'!$G$2,A910))</f>
        <v>0</v>
      </c>
      <c r="R910" t="str">
        <f>IF(Q910=1,COUNTIF($Q$2:$Q910,1),"")</f>
        <v/>
      </c>
      <c r="S910" t="str">
        <f>IFERROR(INDEX(ClientInfo[Full Name], MATCH(ROWS($R$2:$R910),ClientInfo[frequency], 0)),"")</f>
        <v/>
      </c>
    </row>
    <row r="911" spans="1:19">
      <c r="A911" t="str">
        <f>TRIM(CONCATENATE(ClientInfo[[#This Row],[First Name]], " ",ClientInfo[[#This Row],[Last Name]]))</f>
        <v>Rick &amp; Janice Verderamo</v>
      </c>
      <c r="B911" t="s">
        <v>2397</v>
      </c>
      <c r="C911" t="s">
        <v>2398</v>
      </c>
      <c r="F911" s="52" t="s">
        <v>2399</v>
      </c>
      <c r="Q911">
        <f>--ISNUMBER(SEARCH('RC Checklist'!$G$2,A911))</f>
        <v>0</v>
      </c>
      <c r="R911" t="str">
        <f>IF(Q911=1,COUNTIF($Q$2:$Q911,1),"")</f>
        <v/>
      </c>
      <c r="S911" t="str">
        <f>IFERROR(INDEX(ClientInfo[Full Name], MATCH(ROWS($R$2:$R911),ClientInfo[frequency], 0)),"")</f>
        <v/>
      </c>
    </row>
    <row r="912" spans="1:19">
      <c r="A912" t="str">
        <f>TRIM(CONCATENATE(ClientInfo[[#This Row],[First Name]], " ",ClientInfo[[#This Row],[Last Name]]))</f>
        <v>Rick Dillsworth</v>
      </c>
      <c r="B912" t="s">
        <v>581</v>
      </c>
      <c r="C912" t="s">
        <v>1881</v>
      </c>
      <c r="D912" t="s">
        <v>1882</v>
      </c>
      <c r="F912" s="52" t="s">
        <v>1883</v>
      </c>
      <c r="Q912">
        <f>--ISNUMBER(SEARCH('RC Checklist'!$G$2,A912))</f>
        <v>0</v>
      </c>
      <c r="R912" t="str">
        <f>IF(Q912=1,COUNTIF($Q$2:$Q912,1),"")</f>
        <v/>
      </c>
      <c r="S912" t="str">
        <f>IFERROR(INDEX(ClientInfo[Full Name], MATCH(ROWS($R$2:$R912),ClientInfo[frequency], 0)),"")</f>
        <v/>
      </c>
    </row>
    <row r="913" spans="1:19">
      <c r="A913" t="str">
        <f>TRIM(CONCATENATE(ClientInfo[[#This Row],[First Name]], " ",ClientInfo[[#This Row],[Last Name]]))</f>
        <v>Rick Eberly</v>
      </c>
      <c r="B913" t="s">
        <v>581</v>
      </c>
      <c r="C913" t="s">
        <v>2123</v>
      </c>
      <c r="F913" s="52">
        <v>4438313984</v>
      </c>
      <c r="Q913">
        <f>--ISNUMBER(SEARCH('RC Checklist'!$G$2,A913))</f>
        <v>0</v>
      </c>
      <c r="R913" t="str">
        <f>IF(Q913=1,COUNTIF($Q$2:$Q913,1),"")</f>
        <v/>
      </c>
      <c r="S913" t="str">
        <f>IFERROR(INDEX(ClientInfo[Full Name], MATCH(ROWS($R$2:$R913),ClientInfo[frequency], 0)),"")</f>
        <v/>
      </c>
    </row>
    <row r="914" spans="1:19">
      <c r="A914" t="str">
        <f>TRIM(CONCATENATE(ClientInfo[[#This Row],[First Name]], " ",ClientInfo[[#This Row],[Last Name]]))</f>
        <v>Rick Ferrer</v>
      </c>
      <c r="B914" t="s">
        <v>581</v>
      </c>
      <c r="C914" t="s">
        <v>806</v>
      </c>
      <c r="Q914">
        <f>--ISNUMBER(SEARCH('RC Checklist'!$G$2,A914))</f>
        <v>0</v>
      </c>
      <c r="R914" t="str">
        <f>IF(Q914=1,COUNTIF($Q$2:$Q914,1),"")</f>
        <v/>
      </c>
      <c r="S914" t="str">
        <f>IFERROR(INDEX(ClientInfo[Full Name], MATCH(ROWS($R$2:$R914),ClientInfo[frequency], 0)),"")</f>
        <v/>
      </c>
    </row>
    <row r="915" spans="1:19">
      <c r="A915" t="str">
        <f>TRIM(CONCATENATE(ClientInfo[[#This Row],[First Name]], " ",ClientInfo[[#This Row],[Last Name]]))</f>
        <v>Rick Forbes</v>
      </c>
      <c r="B915" t="s">
        <v>581</v>
      </c>
      <c r="C915" t="s">
        <v>1073</v>
      </c>
      <c r="H915" t="s">
        <v>1074</v>
      </c>
      <c r="Q915">
        <f>--ISNUMBER(SEARCH('RC Checklist'!$G$2,A915))</f>
        <v>0</v>
      </c>
      <c r="R915" t="str">
        <f>IF(Q915=1,COUNTIF($Q$2:$Q915,1),"")</f>
        <v/>
      </c>
      <c r="S915" t="str">
        <f>IFERROR(INDEX(ClientInfo[Full Name], MATCH(ROWS($R$2:$R915),ClientInfo[frequency], 0)),"")</f>
        <v/>
      </c>
    </row>
    <row r="916" spans="1:19">
      <c r="A916" t="str">
        <f>TRIM(CONCATENATE(ClientInfo[[#This Row],[First Name]], " ",ClientInfo[[#This Row],[Last Name]]))</f>
        <v>Rick Fulco</v>
      </c>
      <c r="B916" t="s">
        <v>581</v>
      </c>
      <c r="C916" t="s">
        <v>2691</v>
      </c>
      <c r="F916" s="52">
        <v>14436770494</v>
      </c>
      <c r="Q916">
        <f>--ISNUMBER(SEARCH('RC Checklist'!$G$2,A916))</f>
        <v>0</v>
      </c>
      <c r="R916" t="str">
        <f>IF(Q916=1,COUNTIF($Q$2:$Q916,1),"")</f>
        <v/>
      </c>
      <c r="S916" t="str">
        <f>IFERROR(INDEX(ClientInfo[Full Name], MATCH(ROWS($R$2:$R916),ClientInfo[frequency], 0)),"")</f>
        <v/>
      </c>
    </row>
    <row r="917" spans="1:19">
      <c r="A917" t="str">
        <f>TRIM(CONCATENATE(ClientInfo[[#This Row],[First Name]], " ",ClientInfo[[#This Row],[Last Name]]))</f>
        <v>Rick holbine</v>
      </c>
      <c r="B917" t="s">
        <v>581</v>
      </c>
      <c r="C917" t="s">
        <v>2040</v>
      </c>
      <c r="F917" s="52">
        <v>4438691615</v>
      </c>
      <c r="Q917">
        <f>--ISNUMBER(SEARCH('RC Checklist'!$G$2,A917))</f>
        <v>0</v>
      </c>
      <c r="R917" t="str">
        <f>IF(Q917=1,COUNTIF($Q$2:$Q917,1),"")</f>
        <v/>
      </c>
      <c r="S917" t="str">
        <f>IFERROR(INDEX(ClientInfo[Full Name], MATCH(ROWS($R$2:$R917),ClientInfo[frequency], 0)),"")</f>
        <v/>
      </c>
    </row>
    <row r="918" spans="1:19">
      <c r="A918" t="str">
        <f>TRIM(CONCATENATE(ClientInfo[[#This Row],[First Name]], " ",ClientInfo[[#This Row],[Last Name]]))</f>
        <v>Rick hyman</v>
      </c>
      <c r="B918" t="s">
        <v>581</v>
      </c>
      <c r="C918" t="s">
        <v>1749</v>
      </c>
      <c r="F918" s="52" t="s">
        <v>1750</v>
      </c>
      <c r="Q918">
        <f>--ISNUMBER(SEARCH('RC Checklist'!$G$2,A918))</f>
        <v>0</v>
      </c>
      <c r="R918" t="str">
        <f>IF(Q918=1,COUNTIF($Q$2:$Q918,1),"")</f>
        <v/>
      </c>
      <c r="S918" t="str">
        <f>IFERROR(INDEX(ClientInfo[Full Name], MATCH(ROWS($R$2:$R918),ClientInfo[frequency], 0)),"")</f>
        <v/>
      </c>
    </row>
    <row r="919" spans="1:19">
      <c r="A919" t="str">
        <f>TRIM(CONCATENATE(ClientInfo[[#This Row],[First Name]], " ",ClientInfo[[#This Row],[Last Name]]))</f>
        <v>Rick nason</v>
      </c>
      <c r="B919" t="s">
        <v>581</v>
      </c>
      <c r="C919" t="s">
        <v>1937</v>
      </c>
      <c r="F919" s="52">
        <v>4105924888</v>
      </c>
      <c r="Q919">
        <f>--ISNUMBER(SEARCH('RC Checklist'!$G$2,A919))</f>
        <v>0</v>
      </c>
      <c r="R919" t="str">
        <f>IF(Q919=1,COUNTIF($Q$2:$Q919,1),"")</f>
        <v/>
      </c>
      <c r="S919" t="str">
        <f>IFERROR(INDEX(ClientInfo[Full Name], MATCH(ROWS($R$2:$R919),ClientInfo[frequency], 0)),"")</f>
        <v/>
      </c>
    </row>
    <row r="920" spans="1:19">
      <c r="A920" t="str">
        <f>TRIM(CONCATENATE(ClientInfo[[#This Row],[First Name]], " ",ClientInfo[[#This Row],[Last Name]]))</f>
        <v>Rick Ponak</v>
      </c>
      <c r="B920" t="s">
        <v>581</v>
      </c>
      <c r="C920" t="s">
        <v>582</v>
      </c>
      <c r="F920" s="52" t="s">
        <v>583</v>
      </c>
      <c r="Q920">
        <f>--ISNUMBER(SEARCH('RC Checklist'!$G$2,A920))</f>
        <v>0</v>
      </c>
      <c r="R920" t="str">
        <f>IF(Q920=1,COUNTIF($Q$2:$Q920,1),"")</f>
        <v/>
      </c>
      <c r="S920" t="str">
        <f>IFERROR(INDEX(ClientInfo[Full Name], MATCH(ROWS($R$2:$R920),ClientInfo[frequency], 0)),"")</f>
        <v/>
      </c>
    </row>
    <row r="921" spans="1:19">
      <c r="A921" t="str">
        <f>TRIM(CONCATENATE(ClientInfo[[#This Row],[First Name]], " ",ClientInfo[[#This Row],[Last Name]]))</f>
        <v>Ripple ins</v>
      </c>
      <c r="B921" t="s">
        <v>309</v>
      </c>
      <c r="C921" t="s">
        <v>310</v>
      </c>
      <c r="F921" s="52">
        <v>4106826317</v>
      </c>
      <c r="Q921">
        <f>--ISNUMBER(SEARCH('RC Checklist'!$G$2,A921))</f>
        <v>0</v>
      </c>
      <c r="R921" t="str">
        <f>IF(Q921=1,COUNTIF($Q$2:$Q921,1),"")</f>
        <v/>
      </c>
      <c r="S921" t="str">
        <f>IFERROR(INDEX(ClientInfo[Full Name], MATCH(ROWS($R$2:$R921),ClientInfo[frequency], 0)),"")</f>
        <v/>
      </c>
    </row>
    <row r="922" spans="1:19">
      <c r="A922" t="str">
        <f>TRIM(CONCATENATE(ClientInfo[[#This Row],[First Name]], " ",ClientInfo[[#This Row],[Last Name]]))</f>
        <v>Rita</v>
      </c>
      <c r="B922" t="s">
        <v>2270</v>
      </c>
      <c r="F922" s="52">
        <v>4433402453</v>
      </c>
      <c r="Q922">
        <f>--ISNUMBER(SEARCH('RC Checklist'!$G$2,A922))</f>
        <v>0</v>
      </c>
      <c r="R922" t="str">
        <f>IF(Q922=1,COUNTIF($Q$2:$Q922,1),"")</f>
        <v/>
      </c>
      <c r="S922" t="str">
        <f>IFERROR(INDEX(ClientInfo[Full Name], MATCH(ROWS($R$2:$R922),ClientInfo[frequency], 0)),"")</f>
        <v/>
      </c>
    </row>
    <row r="923" spans="1:19">
      <c r="A923" t="str">
        <f>TRIM(CONCATENATE(ClientInfo[[#This Row],[First Name]], " ",ClientInfo[[#This Row],[Last Name]]))</f>
        <v>River run</v>
      </c>
      <c r="B923" t="s">
        <v>1196</v>
      </c>
      <c r="D923" t="s">
        <v>1196</v>
      </c>
      <c r="F923" s="52" t="s">
        <v>1197</v>
      </c>
      <c r="P923" t="s">
        <v>1198</v>
      </c>
      <c r="Q923">
        <f>--ISNUMBER(SEARCH('RC Checklist'!$G$2,A923))</f>
        <v>0</v>
      </c>
      <c r="R923" t="str">
        <f>IF(Q923=1,COUNTIF($Q$2:$Q923,1),"")</f>
        <v/>
      </c>
      <c r="S923" t="str">
        <f>IFERROR(INDEX(ClientInfo[Full Name], MATCH(ROWS($R$2:$R923),ClientInfo[frequency], 0)),"")</f>
        <v/>
      </c>
    </row>
    <row r="924" spans="1:19">
      <c r="A924" t="str">
        <f>TRIM(CONCATENATE(ClientInfo[[#This Row],[First Name]], " ",ClientInfo[[#This Row],[Last Name]]))</f>
        <v>Rob Barrow</v>
      </c>
      <c r="B924" t="s">
        <v>1232</v>
      </c>
      <c r="F924" s="52" t="s">
        <v>1233</v>
      </c>
      <c r="O924" t="s">
        <v>1234</v>
      </c>
      <c r="Q924">
        <f>--ISNUMBER(SEARCH('RC Checklist'!$G$2,A924))</f>
        <v>0</v>
      </c>
      <c r="R924" t="str">
        <f>IF(Q924=1,COUNTIF($Q$2:$Q924,1),"")</f>
        <v/>
      </c>
      <c r="S924" t="str">
        <f>IFERROR(INDEX(ClientInfo[Full Name], MATCH(ROWS($R$2:$R924),ClientInfo[frequency], 0)),"")</f>
        <v/>
      </c>
    </row>
    <row r="925" spans="1:19">
      <c r="A925" t="str">
        <f>TRIM(CONCATENATE(ClientInfo[[#This Row],[First Name]], " ",ClientInfo[[#This Row],[Last Name]]))</f>
        <v>Rob Harris</v>
      </c>
      <c r="B925" t="s">
        <v>248</v>
      </c>
      <c r="C925" t="s">
        <v>460</v>
      </c>
      <c r="D925" t="s">
        <v>461</v>
      </c>
      <c r="F925" s="52" t="s">
        <v>462</v>
      </c>
      <c r="G925" s="52" t="s">
        <v>463</v>
      </c>
      <c r="H925" t="s">
        <v>464</v>
      </c>
      <c r="O925" t="s">
        <v>465</v>
      </c>
      <c r="Q925">
        <f>--ISNUMBER(SEARCH('RC Checklist'!$G$2,A925))</f>
        <v>0</v>
      </c>
      <c r="R925" t="str">
        <f>IF(Q925=1,COUNTIF($Q$2:$Q925,1),"")</f>
        <v/>
      </c>
      <c r="S925" t="str">
        <f>IFERROR(INDEX(ClientInfo[Full Name], MATCH(ROWS($R$2:$R925),ClientInfo[frequency], 0)),"")</f>
        <v/>
      </c>
    </row>
    <row r="926" spans="1:19">
      <c r="A926" t="str">
        <f>TRIM(CONCATENATE(ClientInfo[[#This Row],[First Name]], " ",ClientInfo[[#This Row],[Last Name]]))</f>
        <v>Rob Preston</v>
      </c>
      <c r="B926" t="s">
        <v>248</v>
      </c>
      <c r="C926" t="s">
        <v>139</v>
      </c>
      <c r="D926" t="s">
        <v>249</v>
      </c>
      <c r="F926" s="52">
        <v>4104583598</v>
      </c>
      <c r="H926" t="s">
        <v>250</v>
      </c>
      <c r="Q926">
        <f>--ISNUMBER(SEARCH('RC Checklist'!$G$2,A926))</f>
        <v>0</v>
      </c>
      <c r="R926" t="str">
        <f>IF(Q926=1,COUNTIF($Q$2:$Q926,1),"")</f>
        <v/>
      </c>
      <c r="S926" t="str">
        <f>IFERROR(INDEX(ClientInfo[Full Name], MATCH(ROWS($R$2:$R926),ClientInfo[frequency], 0)),"")</f>
        <v/>
      </c>
    </row>
    <row r="927" spans="1:19">
      <c r="A927" t="str">
        <f>TRIM(CONCATENATE(ClientInfo[[#This Row],[First Name]], " ",ClientInfo[[#This Row],[Last Name]]))</f>
        <v>Rob Smith</v>
      </c>
      <c r="B927" t="s">
        <v>248</v>
      </c>
      <c r="C927" t="s">
        <v>34</v>
      </c>
      <c r="D927" t="s">
        <v>1689</v>
      </c>
      <c r="F927" s="52">
        <v>4104881281</v>
      </c>
      <c r="H927" t="s">
        <v>1690</v>
      </c>
      <c r="Q927">
        <f>--ISNUMBER(SEARCH('RC Checklist'!$G$2,A927))</f>
        <v>0</v>
      </c>
      <c r="R927" t="str">
        <f>IF(Q927=1,COUNTIF($Q$2:$Q927,1),"")</f>
        <v/>
      </c>
      <c r="S927" t="str">
        <f>IFERROR(INDEX(ClientInfo[Full Name], MATCH(ROWS($R$2:$R927),ClientInfo[frequency], 0)),"")</f>
        <v/>
      </c>
    </row>
    <row r="928" spans="1:19">
      <c r="A928" t="str">
        <f>TRIM(CONCATENATE(ClientInfo[[#This Row],[First Name]], " ",ClientInfo[[#This Row],[Last Name]]))</f>
        <v>Robert &amp; Luanne Malamdra</v>
      </c>
      <c r="B928" t="s">
        <v>1884</v>
      </c>
      <c r="C928" t="s">
        <v>1885</v>
      </c>
      <c r="H928" t="s">
        <v>1886</v>
      </c>
      <c r="O928" t="s">
        <v>1887</v>
      </c>
      <c r="P928" t="s">
        <v>1888</v>
      </c>
      <c r="Q928">
        <f>--ISNUMBER(SEARCH('RC Checklist'!$G$2,A928))</f>
        <v>0</v>
      </c>
      <c r="R928" t="str">
        <f>IF(Q928=1,COUNTIF($Q$2:$Q928,1),"")</f>
        <v/>
      </c>
      <c r="S928" t="str">
        <f>IFERROR(INDEX(ClientInfo[Full Name], MATCH(ROWS($R$2:$R928),ClientInfo[frequency], 0)),"")</f>
        <v/>
      </c>
    </row>
    <row r="929" spans="1:19">
      <c r="A929" t="str">
        <f>TRIM(CONCATENATE(ClientInfo[[#This Row],[First Name]], " ",ClientInfo[[#This Row],[Last Name]]))</f>
        <v>Robert Bauerlein Jr.</v>
      </c>
      <c r="B929" t="s">
        <v>142</v>
      </c>
      <c r="C929" t="s">
        <v>1169</v>
      </c>
      <c r="D929" t="s">
        <v>1170</v>
      </c>
      <c r="F929" s="52">
        <v>4106661260</v>
      </c>
      <c r="Q929">
        <f>--ISNUMBER(SEARCH('RC Checklist'!$G$2,A929))</f>
        <v>0</v>
      </c>
      <c r="R929" t="str">
        <f>IF(Q929=1,COUNTIF($Q$2:$Q929,1),"")</f>
        <v/>
      </c>
      <c r="S929" t="str">
        <f>IFERROR(INDEX(ClientInfo[Full Name], MATCH(ROWS($R$2:$R929),ClientInfo[frequency], 0)),"")</f>
        <v/>
      </c>
    </row>
    <row r="930" spans="1:19">
      <c r="A930" t="str">
        <f>TRIM(CONCATENATE(ClientInfo[[#This Row],[First Name]], " ",ClientInfo[[#This Row],[Last Name]]))</f>
        <v>Robert Castle</v>
      </c>
      <c r="B930" t="s">
        <v>142</v>
      </c>
      <c r="C930" t="s">
        <v>1155</v>
      </c>
      <c r="F930" s="52" t="s">
        <v>1156</v>
      </c>
      <c r="O930" t="s">
        <v>1157</v>
      </c>
      <c r="Q930">
        <f>--ISNUMBER(SEARCH('RC Checklist'!$G$2,A930))</f>
        <v>0</v>
      </c>
      <c r="R930" t="str">
        <f>IF(Q930=1,COUNTIF($Q$2:$Q930,1),"")</f>
        <v/>
      </c>
      <c r="S930" t="str">
        <f>IFERROR(INDEX(ClientInfo[Full Name], MATCH(ROWS($R$2:$R930),ClientInfo[frequency], 0)),"")</f>
        <v/>
      </c>
    </row>
    <row r="931" spans="1:19">
      <c r="A931" t="str">
        <f>TRIM(CONCATENATE(ClientInfo[[#This Row],[First Name]], " ",ClientInfo[[#This Row],[Last Name]]))</f>
        <v>Robert gerald</v>
      </c>
      <c r="B931" t="s">
        <v>142</v>
      </c>
      <c r="C931" t="s">
        <v>307</v>
      </c>
      <c r="F931" s="52">
        <v>6022843983</v>
      </c>
      <c r="Q931">
        <f>--ISNUMBER(SEARCH('RC Checklist'!$G$2,A931))</f>
        <v>0</v>
      </c>
      <c r="R931" t="str">
        <f>IF(Q931=1,COUNTIF($Q$2:$Q931,1),"")</f>
        <v/>
      </c>
      <c r="S931" t="str">
        <f>IFERROR(INDEX(ClientInfo[Full Name], MATCH(ROWS($R$2:$R931),ClientInfo[frequency], 0)),"")</f>
        <v/>
      </c>
    </row>
    <row r="932" spans="1:19">
      <c r="A932" t="str">
        <f>TRIM(CONCATENATE(ClientInfo[[#This Row],[First Name]], " ",ClientInfo[[#This Row],[Last Name]]))</f>
        <v>Robert Johnson</v>
      </c>
      <c r="B932" t="s">
        <v>2382</v>
      </c>
      <c r="C932" t="s">
        <v>656</v>
      </c>
      <c r="D932" t="s">
        <v>2383</v>
      </c>
      <c r="F932" s="52" t="s">
        <v>2384</v>
      </c>
      <c r="Q932">
        <f>--ISNUMBER(SEARCH('RC Checklist'!$G$2,A932))</f>
        <v>0</v>
      </c>
      <c r="R932" t="str">
        <f>IF(Q932=1,COUNTIF($Q$2:$Q932,1),"")</f>
        <v/>
      </c>
      <c r="S932" t="str">
        <f>IFERROR(INDEX(ClientInfo[Full Name], MATCH(ROWS($R$2:$R932),ClientInfo[frequency], 0)),"")</f>
        <v/>
      </c>
    </row>
    <row r="933" spans="1:19">
      <c r="A933" t="str">
        <f>TRIM(CONCATENATE(ClientInfo[[#This Row],[First Name]], " ",ClientInfo[[#This Row],[Last Name]]))</f>
        <v>Robert Landau</v>
      </c>
      <c r="B933" t="s">
        <v>142</v>
      </c>
      <c r="C933" t="s">
        <v>1047</v>
      </c>
      <c r="F933" s="52">
        <v>4109607431</v>
      </c>
      <c r="G933" s="52">
        <v>4108892892</v>
      </c>
      <c r="Q933">
        <f>--ISNUMBER(SEARCH('RC Checklist'!$G$2,A933))</f>
        <v>0</v>
      </c>
      <c r="R933" t="str">
        <f>IF(Q933=1,COUNTIF($Q$2:$Q933,1),"")</f>
        <v/>
      </c>
      <c r="S933" t="str">
        <f>IFERROR(INDEX(ClientInfo[Full Name], MATCH(ROWS($R$2:$R933),ClientInfo[frequency], 0)),"")</f>
        <v/>
      </c>
    </row>
    <row r="934" spans="1:19">
      <c r="A934" t="str">
        <f>TRIM(CONCATENATE(ClientInfo[[#This Row],[First Name]], " ",ClientInfo[[#This Row],[Last Name]]))</f>
        <v>Robert Reilley</v>
      </c>
      <c r="B934" t="s">
        <v>142</v>
      </c>
      <c r="C934" t="s">
        <v>1557</v>
      </c>
      <c r="D934" t="s">
        <v>1558</v>
      </c>
      <c r="F934" s="52" t="s">
        <v>1559</v>
      </c>
      <c r="G934" s="52" t="s">
        <v>1560</v>
      </c>
      <c r="O934" t="s">
        <v>1561</v>
      </c>
      <c r="Q934">
        <f>--ISNUMBER(SEARCH('RC Checklist'!$G$2,A934))</f>
        <v>0</v>
      </c>
      <c r="R934" t="str">
        <f>IF(Q934=1,COUNTIF($Q$2:$Q934,1),"")</f>
        <v/>
      </c>
      <c r="S934" t="str">
        <f>IFERROR(INDEX(ClientInfo[Full Name], MATCH(ROWS($R$2:$R934),ClientInfo[frequency], 0)),"")</f>
        <v/>
      </c>
    </row>
    <row r="935" spans="1:19">
      <c r="A935" t="str">
        <f>TRIM(CONCATENATE(ClientInfo[[#This Row],[First Name]], " ",ClientInfo[[#This Row],[Last Name]]))</f>
        <v>Robert Robertson</v>
      </c>
      <c r="B935" t="s">
        <v>142</v>
      </c>
      <c r="C935" t="s">
        <v>2889</v>
      </c>
      <c r="D935" t="s">
        <v>2890</v>
      </c>
      <c r="Q935">
        <f>--ISNUMBER(SEARCH('RC Checklist'!$G$2,A935))</f>
        <v>0</v>
      </c>
      <c r="R935" t="str">
        <f>IF(Q935=1,COUNTIF($Q$2:$Q935,1),"")</f>
        <v/>
      </c>
      <c r="S935" t="str">
        <f>IFERROR(INDEX(ClientInfo[Full Name], MATCH(ROWS($R$2:$R935),ClientInfo[frequency], 0)),"")</f>
        <v/>
      </c>
    </row>
    <row r="936" spans="1:19">
      <c r="A936" t="str">
        <f>TRIM(CONCATENATE(ClientInfo[[#This Row],[First Name]], " ",ClientInfo[[#This Row],[Last Name]]))</f>
        <v>Robert Rumsey</v>
      </c>
      <c r="B936" t="s">
        <v>142</v>
      </c>
      <c r="C936" t="s">
        <v>143</v>
      </c>
      <c r="D936" t="s">
        <v>144</v>
      </c>
      <c r="E936" t="s">
        <v>145</v>
      </c>
      <c r="F936" s="52">
        <v>4436326100</v>
      </c>
      <c r="G936" s="52">
        <v>14436328912</v>
      </c>
      <c r="H936" t="s">
        <v>146</v>
      </c>
      <c r="Q936">
        <f>--ISNUMBER(SEARCH('RC Checklist'!$G$2,A936))</f>
        <v>0</v>
      </c>
      <c r="R936" t="str">
        <f>IF(Q936=1,COUNTIF($Q$2:$Q936,1),"")</f>
        <v/>
      </c>
      <c r="S936" t="str">
        <f>IFERROR(INDEX(ClientInfo[Full Name], MATCH(ROWS($R$2:$R936),ClientInfo[frequency], 0)),"")</f>
        <v/>
      </c>
    </row>
    <row r="937" spans="1:19">
      <c r="A937" t="str">
        <f>TRIM(CONCATENATE(ClientInfo[[#This Row],[First Name]], " ",ClientInfo[[#This Row],[Last Name]]))</f>
        <v>Robert van Trigt</v>
      </c>
      <c r="B937" t="s">
        <v>142</v>
      </c>
      <c r="C937" t="s">
        <v>2763</v>
      </c>
      <c r="F937" s="52" t="s">
        <v>2764</v>
      </c>
      <c r="H937" t="s">
        <v>2765</v>
      </c>
      <c r="P937" t="s">
        <v>2766</v>
      </c>
      <c r="Q937">
        <f>--ISNUMBER(SEARCH('RC Checklist'!$G$2,A937))</f>
        <v>0</v>
      </c>
      <c r="R937" t="str">
        <f>IF(Q937=1,COUNTIF($Q$2:$Q937,1),"")</f>
        <v/>
      </c>
      <c r="S937" t="str">
        <f>IFERROR(INDEX(ClientInfo[Full Name], MATCH(ROWS($R$2:$R937),ClientInfo[frequency], 0)),"")</f>
        <v/>
      </c>
    </row>
    <row r="938" spans="1:19">
      <c r="A938" t="str">
        <f>TRIM(CONCATENATE(ClientInfo[[#This Row],[First Name]], " ",ClientInfo[[#This Row],[Last Name]]))</f>
        <v>Robert Young</v>
      </c>
      <c r="B938" t="s">
        <v>142</v>
      </c>
      <c r="C938" t="s">
        <v>2847</v>
      </c>
      <c r="D938" t="s">
        <v>2848</v>
      </c>
      <c r="F938" s="52" t="s">
        <v>2849</v>
      </c>
      <c r="Q938">
        <f>--ISNUMBER(SEARCH('RC Checklist'!$G$2,A938))</f>
        <v>0</v>
      </c>
      <c r="R938" t="str">
        <f>IF(Q938=1,COUNTIF($Q$2:$Q938,1),"")</f>
        <v/>
      </c>
      <c r="S938" t="str">
        <f>IFERROR(INDEX(ClientInfo[Full Name], MATCH(ROWS($R$2:$R938),ClientInfo[frequency], 0)),"")</f>
        <v/>
      </c>
    </row>
    <row r="939" spans="1:19">
      <c r="A939" t="str">
        <f>TRIM(CONCATENATE(ClientInfo[[#This Row],[First Name]], " ",ClientInfo[[#This Row],[Last Name]]))</f>
        <v>Roberts Company</v>
      </c>
      <c r="B939" t="s">
        <v>830</v>
      </c>
      <c r="D939" t="s">
        <v>830</v>
      </c>
      <c r="F939" s="52" t="s">
        <v>831</v>
      </c>
      <c r="P939" t="s">
        <v>832</v>
      </c>
      <c r="Q939">
        <f>--ISNUMBER(SEARCH('RC Checklist'!$G$2,A939))</f>
        <v>0</v>
      </c>
      <c r="R939" t="str">
        <f>IF(Q939=1,COUNTIF($Q$2:$Q939,1),"")</f>
        <v/>
      </c>
      <c r="S939" t="str">
        <f>IFERROR(INDEX(ClientInfo[Full Name], MATCH(ROWS($R$2:$R939),ClientInfo[frequency], 0)),"")</f>
        <v/>
      </c>
    </row>
    <row r="940" spans="1:19">
      <c r="A940" t="str">
        <f>TRIM(CONCATENATE(ClientInfo[[#This Row],[First Name]], " ",ClientInfo[[#This Row],[Last Name]]))</f>
        <v>Robyn Mcgregor</v>
      </c>
      <c r="B940" t="s">
        <v>2669</v>
      </c>
      <c r="C940" t="s">
        <v>2670</v>
      </c>
      <c r="F940" s="52" t="s">
        <v>2671</v>
      </c>
      <c r="Q940">
        <f>--ISNUMBER(SEARCH('RC Checklist'!$G$2,A940))</f>
        <v>0</v>
      </c>
      <c r="R940" t="str">
        <f>IF(Q940=1,COUNTIF($Q$2:$Q940,1),"")</f>
        <v/>
      </c>
      <c r="S940" t="str">
        <f>IFERROR(INDEX(ClientInfo[Full Name], MATCH(ROWS($R$2:$R940),ClientInfo[frequency], 0)),"")</f>
        <v/>
      </c>
    </row>
    <row r="941" spans="1:19">
      <c r="A941" t="str">
        <f>TRIM(CONCATENATE(ClientInfo[[#This Row],[First Name]], " ",ClientInfo[[#This Row],[Last Name]]))</f>
        <v>Rodney</v>
      </c>
      <c r="B941" t="s">
        <v>1167</v>
      </c>
      <c r="D941" t="s">
        <v>1168</v>
      </c>
      <c r="Q941">
        <f>--ISNUMBER(SEARCH('RC Checklist'!$G$2,A941))</f>
        <v>0</v>
      </c>
      <c r="R941" t="str">
        <f>IF(Q941=1,COUNTIF($Q$2:$Q941,1),"")</f>
        <v/>
      </c>
      <c r="S941" t="str">
        <f>IFERROR(INDEX(ClientInfo[Full Name], MATCH(ROWS($R$2:$R941),ClientInfo[frequency], 0)),"")</f>
        <v/>
      </c>
    </row>
    <row r="942" spans="1:19">
      <c r="A942" t="str">
        <f>TRIM(CONCATENATE(ClientInfo[[#This Row],[First Name]], " ",ClientInfo[[#This Row],[Last Name]]))</f>
        <v>Roger</v>
      </c>
      <c r="B942" t="s">
        <v>2030</v>
      </c>
      <c r="D942" t="s">
        <v>1556</v>
      </c>
      <c r="F942" s="52">
        <v>2408822933</v>
      </c>
      <c r="Q942">
        <f>--ISNUMBER(SEARCH('RC Checklist'!$G$2,A942))</f>
        <v>0</v>
      </c>
      <c r="R942" t="str">
        <f>IF(Q942=1,COUNTIF($Q$2:$Q942,1),"")</f>
        <v/>
      </c>
      <c r="S942" t="str">
        <f>IFERROR(INDEX(ClientInfo[Full Name], MATCH(ROWS($R$2:$R942),ClientInfo[frequency], 0)),"")</f>
        <v/>
      </c>
    </row>
    <row r="943" spans="1:19">
      <c r="A943" t="str">
        <f>TRIM(CONCATENATE(ClientInfo[[#This Row],[First Name]], " ",ClientInfo[[#This Row],[Last Name]]))</f>
        <v>Ron</v>
      </c>
      <c r="B943" t="s">
        <v>563</v>
      </c>
      <c r="D943" t="s">
        <v>564</v>
      </c>
      <c r="F943" s="52" t="s">
        <v>565</v>
      </c>
      <c r="Q943">
        <f>--ISNUMBER(SEARCH('RC Checklist'!$G$2,A943))</f>
        <v>0</v>
      </c>
      <c r="R943" t="str">
        <f>IF(Q943=1,COUNTIF($Q$2:$Q943,1),"")</f>
        <v/>
      </c>
      <c r="S943" t="str">
        <f>IFERROR(INDEX(ClientInfo[Full Name], MATCH(ROWS($R$2:$R943),ClientInfo[frequency], 0)),"")</f>
        <v/>
      </c>
    </row>
    <row r="944" spans="1:19">
      <c r="A944" t="str">
        <f>TRIM(CONCATENATE(ClientInfo[[#This Row],[First Name]], " ",ClientInfo[[#This Row],[Last Name]]))</f>
        <v>Ron dawson</v>
      </c>
      <c r="B944" t="s">
        <v>563</v>
      </c>
      <c r="C944" t="s">
        <v>1429</v>
      </c>
      <c r="F944" s="52">
        <v>4438666464</v>
      </c>
      <c r="Q944">
        <f>--ISNUMBER(SEARCH('RC Checklist'!$G$2,A944))</f>
        <v>0</v>
      </c>
      <c r="R944" t="str">
        <f>IF(Q944=1,COUNTIF($Q$2:$Q944,1),"")</f>
        <v/>
      </c>
      <c r="S944" t="str">
        <f>IFERROR(INDEX(ClientInfo[Full Name], MATCH(ROWS($R$2:$R944),ClientInfo[frequency], 0)),"")</f>
        <v/>
      </c>
    </row>
    <row r="945" spans="1:19">
      <c r="A945" t="str">
        <f>TRIM(CONCATENATE(ClientInfo[[#This Row],[First Name]], " ",ClientInfo[[#This Row],[Last Name]]))</f>
        <v>Ron Kluegel</v>
      </c>
      <c r="B945" t="s">
        <v>563</v>
      </c>
      <c r="C945" t="s">
        <v>769</v>
      </c>
      <c r="F945" s="52">
        <v>7178252034</v>
      </c>
      <c r="H945" t="s">
        <v>770</v>
      </c>
      <c r="O945" t="s">
        <v>771</v>
      </c>
      <c r="Q945">
        <f>--ISNUMBER(SEARCH('RC Checklist'!$G$2,A945))</f>
        <v>0</v>
      </c>
      <c r="R945" t="str">
        <f>IF(Q945=1,COUNTIF($Q$2:$Q945,1),"")</f>
        <v/>
      </c>
      <c r="S945" t="str">
        <f>IFERROR(INDEX(ClientInfo[Full Name], MATCH(ROWS($R$2:$R945),ClientInfo[frequency], 0)),"")</f>
        <v/>
      </c>
    </row>
    <row r="946" spans="1:19">
      <c r="A946" t="str">
        <f>TRIM(CONCATENATE(ClientInfo[[#This Row],[First Name]], " ",ClientInfo[[#This Row],[Last Name]]))</f>
        <v>Ron White</v>
      </c>
      <c r="B946" t="s">
        <v>563</v>
      </c>
      <c r="C946" t="s">
        <v>44</v>
      </c>
      <c r="D946" t="s">
        <v>1679</v>
      </c>
      <c r="F946" s="52" t="s">
        <v>1680</v>
      </c>
      <c r="G946" s="52" t="s">
        <v>1681</v>
      </c>
      <c r="Q946">
        <f>--ISNUMBER(SEARCH('RC Checklist'!$G$2,A946))</f>
        <v>0</v>
      </c>
      <c r="R946" t="str">
        <f>IF(Q946=1,COUNTIF($Q$2:$Q946,1),"")</f>
        <v/>
      </c>
      <c r="S946" t="str">
        <f>IFERROR(INDEX(ClientInfo[Full Name], MATCH(ROWS($R$2:$R946),ClientInfo[frequency], 0)),"")</f>
        <v/>
      </c>
    </row>
    <row r="947" spans="1:19">
      <c r="A947" t="str">
        <f>TRIM(CONCATENATE(ClientInfo[[#This Row],[First Name]], " ",ClientInfo[[#This Row],[Last Name]]))</f>
        <v>Ronald &amp; Norma Schneider &amp; Brunner</v>
      </c>
      <c r="B947" t="s">
        <v>1832</v>
      </c>
      <c r="C947" t="s">
        <v>1833</v>
      </c>
      <c r="O947" t="s">
        <v>1834</v>
      </c>
      <c r="Q947">
        <f>--ISNUMBER(SEARCH('RC Checklist'!$G$2,A947))</f>
        <v>0</v>
      </c>
      <c r="R947" t="str">
        <f>IF(Q947=1,COUNTIF($Q$2:$Q947,1),"")</f>
        <v/>
      </c>
      <c r="S947" t="str">
        <f>IFERROR(INDEX(ClientInfo[Full Name], MATCH(ROWS($R$2:$R947),ClientInfo[frequency], 0)),"")</f>
        <v/>
      </c>
    </row>
    <row r="948" spans="1:19">
      <c r="A948" t="str">
        <f>TRIM(CONCATENATE(ClientInfo[[#This Row],[First Name]], " ",ClientInfo[[#This Row],[Last Name]]))</f>
        <v>Ronald Lonberger</v>
      </c>
      <c r="B948" t="s">
        <v>864</v>
      </c>
      <c r="C948" t="s">
        <v>865</v>
      </c>
      <c r="F948" s="52" t="s">
        <v>866</v>
      </c>
      <c r="Q948">
        <f>--ISNUMBER(SEARCH('RC Checklist'!$G$2,A948))</f>
        <v>0</v>
      </c>
      <c r="R948" t="str">
        <f>IF(Q948=1,COUNTIF($Q$2:$Q948,1),"")</f>
        <v/>
      </c>
      <c r="S948" t="str">
        <f>IFERROR(INDEX(ClientInfo[Full Name], MATCH(ROWS($R$2:$R948),ClientInfo[frequency], 0)),"")</f>
        <v/>
      </c>
    </row>
    <row r="949" spans="1:19">
      <c r="A949" t="str">
        <f>TRIM(CONCATENATE(ClientInfo[[#This Row],[First Name]], " ",ClientInfo[[#This Row],[Last Name]]))</f>
        <v>Ronny Best</v>
      </c>
      <c r="B949" t="s">
        <v>1115</v>
      </c>
      <c r="C949" t="s">
        <v>1116</v>
      </c>
      <c r="D949" t="s">
        <v>1117</v>
      </c>
      <c r="Q949">
        <f>--ISNUMBER(SEARCH('RC Checklist'!$G$2,A949))</f>
        <v>0</v>
      </c>
      <c r="R949" t="str">
        <f>IF(Q949=1,COUNTIF($Q$2:$Q949,1),"")</f>
        <v/>
      </c>
      <c r="S949" t="str">
        <f>IFERROR(INDEX(ClientInfo[Full Name], MATCH(ROWS($R$2:$R949),ClientInfo[frequency], 0)),"")</f>
        <v/>
      </c>
    </row>
    <row r="950" spans="1:19">
      <c r="A950" t="str">
        <f>TRIM(CONCATENATE(ClientInfo[[#This Row],[First Name]], " ",ClientInfo[[#This Row],[Last Name]]))</f>
        <v>Ross Lansinger</v>
      </c>
      <c r="B950" t="s">
        <v>2442</v>
      </c>
      <c r="C950" t="s">
        <v>951</v>
      </c>
      <c r="F950" s="52">
        <v>4438386198</v>
      </c>
      <c r="P950" t="s">
        <v>2443</v>
      </c>
      <c r="Q950">
        <f>--ISNUMBER(SEARCH('RC Checklist'!$G$2,A950))</f>
        <v>0</v>
      </c>
      <c r="R950" t="str">
        <f>IF(Q950=1,COUNTIF($Q$2:$Q950,1),"")</f>
        <v/>
      </c>
      <c r="S950" t="str">
        <f>IFERROR(INDEX(ClientInfo[Full Name], MATCH(ROWS($R$2:$R950),ClientInfo[frequency], 0)),"")</f>
        <v/>
      </c>
    </row>
    <row r="951" spans="1:19">
      <c r="A951" t="str">
        <f>TRIM(CONCATENATE(ClientInfo[[#This Row],[First Name]], " ",ClientInfo[[#This Row],[Last Name]]))</f>
        <v>Roundtop Mountain Resort</v>
      </c>
      <c r="B951" t="s">
        <v>2559</v>
      </c>
      <c r="D951" t="s">
        <v>2559</v>
      </c>
      <c r="F951" s="52" t="s">
        <v>2560</v>
      </c>
      <c r="O951" t="s">
        <v>2561</v>
      </c>
      <c r="Q951">
        <f>--ISNUMBER(SEARCH('RC Checklist'!$G$2,A951))</f>
        <v>0</v>
      </c>
      <c r="R951" t="str">
        <f>IF(Q951=1,COUNTIF($Q$2:$Q951,1),"")</f>
        <v/>
      </c>
      <c r="S951" t="str">
        <f>IFERROR(INDEX(ClientInfo[Full Name], MATCH(ROWS($R$2:$R951),ClientInfo[frequency], 0)),"")</f>
        <v/>
      </c>
    </row>
    <row r="952" spans="1:19">
      <c r="A952" t="str">
        <f>TRIM(CONCATENATE(ClientInfo[[#This Row],[First Name]], " ",ClientInfo[[#This Row],[Last Name]]))</f>
        <v>Rudy</v>
      </c>
      <c r="B952" t="s">
        <v>314</v>
      </c>
      <c r="F952" s="52">
        <v>4102525110</v>
      </c>
      <c r="G952" s="52">
        <v>4107906111</v>
      </c>
      <c r="Q952">
        <f>--ISNUMBER(SEARCH('RC Checklist'!$G$2,A952))</f>
        <v>0</v>
      </c>
      <c r="R952" t="str">
        <f>IF(Q952=1,COUNTIF($Q$2:$Q952,1),"")</f>
        <v/>
      </c>
      <c r="S952" t="str">
        <f>IFERROR(INDEX(ClientInfo[Full Name], MATCH(ROWS($R$2:$R952),ClientInfo[frequency], 0)),"")</f>
        <v/>
      </c>
    </row>
    <row r="953" spans="1:19">
      <c r="A953" t="str">
        <f>TRIM(CONCATENATE(ClientInfo[[#This Row],[First Name]], " ",ClientInfo[[#This Row],[Last Name]]))</f>
        <v>Russ</v>
      </c>
      <c r="B953" t="s">
        <v>335</v>
      </c>
      <c r="F953" s="52">
        <v>7176645836</v>
      </c>
      <c r="Q953">
        <f>--ISNUMBER(SEARCH('RC Checklist'!$G$2,A953))</f>
        <v>0</v>
      </c>
      <c r="R953" t="str">
        <f>IF(Q953=1,COUNTIF($Q$2:$Q953,1),"")</f>
        <v/>
      </c>
      <c r="S953" t="str">
        <f>IFERROR(INDEX(ClientInfo[Full Name], MATCH(ROWS($R$2:$R953),ClientInfo[frequency], 0)),"")</f>
        <v/>
      </c>
    </row>
    <row r="954" spans="1:19">
      <c r="A954" t="str">
        <f>TRIM(CONCATENATE(ClientInfo[[#This Row],[First Name]], " ",ClientInfo[[#This Row],[Last Name]]))</f>
        <v>Russ Interior</v>
      </c>
      <c r="B954" t="s">
        <v>749</v>
      </c>
      <c r="F954" s="52">
        <v>4109522500</v>
      </c>
      <c r="Q954">
        <f>--ISNUMBER(SEARCH('RC Checklist'!$G$2,A954))</f>
        <v>0</v>
      </c>
      <c r="R954" t="str">
        <f>IF(Q954=1,COUNTIF($Q$2:$Q954,1),"")</f>
        <v/>
      </c>
      <c r="S954" t="str">
        <f>IFERROR(INDEX(ClientInfo[Full Name], MATCH(ROWS($R$2:$R954),ClientInfo[frequency], 0)),"")</f>
        <v/>
      </c>
    </row>
    <row r="955" spans="1:19">
      <c r="A955" t="str">
        <f>TRIM(CONCATENATE(ClientInfo[[#This Row],[First Name]], " ",ClientInfo[[#This Row],[Last Name]]))</f>
        <v>Russ irvin</v>
      </c>
      <c r="B955" t="s">
        <v>335</v>
      </c>
      <c r="C955" t="s">
        <v>876</v>
      </c>
      <c r="F955" s="52">
        <v>4109358141</v>
      </c>
      <c r="Q955">
        <f>--ISNUMBER(SEARCH('RC Checklist'!$G$2,A955))</f>
        <v>0</v>
      </c>
      <c r="R955" t="str">
        <f>IF(Q955=1,COUNTIF($Q$2:$Q955,1),"")</f>
        <v/>
      </c>
      <c r="S955" t="str">
        <f>IFERROR(INDEX(ClientInfo[Full Name], MATCH(ROWS($R$2:$R955),ClientInfo[frequency], 0)),"")</f>
        <v/>
      </c>
    </row>
    <row r="956" spans="1:19">
      <c r="A956" t="str">
        <f>TRIM(CONCATENATE(ClientInfo[[#This Row],[First Name]], " ",ClientInfo[[#This Row],[Last Name]]))</f>
        <v>Russ Mazulo</v>
      </c>
      <c r="B956" t="s">
        <v>335</v>
      </c>
      <c r="C956" t="s">
        <v>336</v>
      </c>
      <c r="D956" t="s">
        <v>337</v>
      </c>
      <c r="F956" s="52">
        <v>6104967815</v>
      </c>
      <c r="Q956">
        <f>--ISNUMBER(SEARCH('RC Checklist'!$G$2,A956))</f>
        <v>0</v>
      </c>
      <c r="R956" t="str">
        <f>IF(Q956=1,COUNTIF($Q$2:$Q956,1),"")</f>
        <v/>
      </c>
      <c r="S956" t="str">
        <f>IFERROR(INDEX(ClientInfo[Full Name], MATCH(ROWS($R$2:$R956),ClientInfo[frequency], 0)),"")</f>
        <v/>
      </c>
    </row>
    <row r="957" spans="1:19">
      <c r="A957" t="str">
        <f>TRIM(CONCATENATE(ClientInfo[[#This Row],[First Name]], " ",ClientInfo[[#This Row],[Last Name]]))</f>
        <v>Rusty Latrobe</v>
      </c>
      <c r="B957" t="s">
        <v>2276</v>
      </c>
      <c r="C957" t="s">
        <v>2277</v>
      </c>
      <c r="D957" t="s">
        <v>2278</v>
      </c>
      <c r="F957" s="52" t="s">
        <v>2279</v>
      </c>
      <c r="H957" t="s">
        <v>2280</v>
      </c>
      <c r="O957" t="s">
        <v>2281</v>
      </c>
      <c r="Q957">
        <f>--ISNUMBER(SEARCH('RC Checklist'!$G$2,A957))</f>
        <v>0</v>
      </c>
      <c r="R957" t="str">
        <f>IF(Q957=1,COUNTIF($Q$2:$Q957,1),"")</f>
        <v/>
      </c>
      <c r="S957" t="str">
        <f>IFERROR(INDEX(ClientInfo[Full Name], MATCH(ROWS($R$2:$R957),ClientInfo[frequency], 0)),"")</f>
        <v/>
      </c>
    </row>
    <row r="958" spans="1:19">
      <c r="A958" t="str">
        <f>TRIM(CONCATENATE(ClientInfo[[#This Row],[First Name]], " ",ClientInfo[[#This Row],[Last Name]]))</f>
        <v>Ryan</v>
      </c>
      <c r="B958" t="s">
        <v>165</v>
      </c>
      <c r="D958" t="s">
        <v>2590</v>
      </c>
      <c r="F958" s="52" t="s">
        <v>2591</v>
      </c>
      <c r="Q958">
        <f>--ISNUMBER(SEARCH('RC Checklist'!$G$2,A958))</f>
        <v>0</v>
      </c>
      <c r="R958" t="str">
        <f>IF(Q958=1,COUNTIF($Q$2:$Q958,1),"")</f>
        <v/>
      </c>
      <c r="S958" t="str">
        <f>IFERROR(INDEX(ClientInfo[Full Name], MATCH(ROWS($R$2:$R958),ClientInfo[frequency], 0)),"")</f>
        <v/>
      </c>
    </row>
    <row r="959" spans="1:19">
      <c r="A959" t="str">
        <f>TRIM(CONCATENATE(ClientInfo[[#This Row],[First Name]], " ",ClientInfo[[#This Row],[Last Name]]))</f>
        <v>Ryan Brown</v>
      </c>
      <c r="B959" t="s">
        <v>165</v>
      </c>
      <c r="C959" t="s">
        <v>1134</v>
      </c>
      <c r="F959" s="52" t="s">
        <v>1135</v>
      </c>
      <c r="G959" s="52" t="s">
        <v>1136</v>
      </c>
      <c r="Q959">
        <f>--ISNUMBER(SEARCH('RC Checklist'!$G$2,A959))</f>
        <v>0</v>
      </c>
      <c r="R959" t="str">
        <f>IF(Q959=1,COUNTIF($Q$2:$Q959,1),"")</f>
        <v/>
      </c>
      <c r="S959" t="str">
        <f>IFERROR(INDEX(ClientInfo[Full Name], MATCH(ROWS($R$2:$R959),ClientInfo[frequency], 0)),"")</f>
        <v/>
      </c>
    </row>
    <row r="960" spans="1:19">
      <c r="A960" t="str">
        <f>TRIM(CONCATENATE(ClientInfo[[#This Row],[First Name]], " ",ClientInfo[[#This Row],[Last Name]]))</f>
        <v>Ryan Fifer</v>
      </c>
      <c r="B960" t="s">
        <v>165</v>
      </c>
      <c r="C960" t="s">
        <v>2290</v>
      </c>
      <c r="F960" s="52">
        <v>4439103802</v>
      </c>
      <c r="Q960">
        <f>--ISNUMBER(SEARCH('RC Checklist'!$G$2,A960))</f>
        <v>0</v>
      </c>
      <c r="R960" t="str">
        <f>IF(Q960=1,COUNTIF($Q$2:$Q960,1),"")</f>
        <v/>
      </c>
      <c r="S960" t="str">
        <f>IFERROR(INDEX(ClientInfo[Full Name], MATCH(ROWS($R$2:$R960),ClientInfo[frequency], 0)),"")</f>
        <v/>
      </c>
    </row>
    <row r="961" spans="1:19">
      <c r="A961" t="str">
        <f>TRIM(CONCATENATE(ClientInfo[[#This Row],[First Name]], " ",ClientInfo[[#This Row],[Last Name]]))</f>
        <v>Ryan Kosterow</v>
      </c>
      <c r="B961" t="s">
        <v>165</v>
      </c>
      <c r="C961" t="s">
        <v>589</v>
      </c>
      <c r="H961" t="s">
        <v>590</v>
      </c>
      <c r="Q961">
        <f>--ISNUMBER(SEARCH('RC Checklist'!$G$2,A961))</f>
        <v>0</v>
      </c>
      <c r="R961" t="str">
        <f>IF(Q961=1,COUNTIF($Q$2:$Q961,1),"")</f>
        <v/>
      </c>
      <c r="S961" t="str">
        <f>IFERROR(INDEX(ClientInfo[Full Name], MATCH(ROWS($R$2:$R961),ClientInfo[frequency], 0)),"")</f>
        <v/>
      </c>
    </row>
    <row r="962" spans="1:19">
      <c r="A962" t="str">
        <f>TRIM(CONCATENATE(ClientInfo[[#This Row],[First Name]], " ",ClientInfo[[#This Row],[Last Name]]))</f>
        <v>Ryan Pontious</v>
      </c>
      <c r="B962" t="s">
        <v>2412</v>
      </c>
      <c r="F962" s="52" t="s">
        <v>2413</v>
      </c>
      <c r="Q962">
        <f>--ISNUMBER(SEARCH('RC Checklist'!$G$2,A962))</f>
        <v>0</v>
      </c>
      <c r="R962" t="str">
        <f>IF(Q962=1,COUNTIF($Q$2:$Q962,1),"")</f>
        <v/>
      </c>
      <c r="S962" t="str">
        <f>IFERROR(INDEX(ClientInfo[Full Name], MATCH(ROWS($R$2:$R962),ClientInfo[frequency], 0)),"")</f>
        <v/>
      </c>
    </row>
    <row r="963" spans="1:19">
      <c r="A963" t="str">
        <f>TRIM(CONCATENATE(ClientInfo[[#This Row],[First Name]], " ",ClientInfo[[#This Row],[Last Name]]))</f>
        <v>Ryan Zezeski</v>
      </c>
      <c r="B963" t="s">
        <v>165</v>
      </c>
      <c r="C963" t="s">
        <v>166</v>
      </c>
      <c r="D963" t="s">
        <v>167</v>
      </c>
      <c r="E963" t="s">
        <v>168</v>
      </c>
      <c r="F963" s="52">
        <v>14437443807</v>
      </c>
      <c r="G963" s="52">
        <v>16467676369</v>
      </c>
      <c r="H963" t="s">
        <v>169</v>
      </c>
      <c r="O963" t="s">
        <v>2957</v>
      </c>
      <c r="P963" t="s">
        <v>170</v>
      </c>
      <c r="Q963">
        <f>--ISNUMBER(SEARCH('RC Checklist'!$G$2,A963))</f>
        <v>0</v>
      </c>
      <c r="R963" t="str">
        <f>IF(Q963=1,COUNTIF($Q$2:$Q963,1),"")</f>
        <v/>
      </c>
      <c r="S963" t="str">
        <f>IFERROR(INDEX(ClientInfo[Full Name], MATCH(ROWS($R$2:$R963),ClientInfo[frequency], 0)),"")</f>
        <v/>
      </c>
    </row>
    <row r="964" spans="1:19">
      <c r="A964" t="str">
        <f>TRIM(CONCATENATE(ClientInfo[[#This Row],[First Name]], " ",ClientInfo[[#This Row],[Last Name]]))</f>
        <v>Sabre Wood</v>
      </c>
      <c r="B964" t="s">
        <v>2694</v>
      </c>
      <c r="C964" t="s">
        <v>2695</v>
      </c>
      <c r="F964" s="52" t="s">
        <v>2696</v>
      </c>
      <c r="Q964">
        <f>--ISNUMBER(SEARCH('RC Checklist'!$G$2,A964))</f>
        <v>0</v>
      </c>
      <c r="R964" t="str">
        <f>IF(Q964=1,COUNTIF($Q$2:$Q964,1),"")</f>
        <v/>
      </c>
      <c r="S964" t="str">
        <f>IFERROR(INDEX(ClientInfo[Full Name], MATCH(ROWS($R$2:$R964),ClientInfo[frequency], 0)),"")</f>
        <v/>
      </c>
    </row>
    <row r="965" spans="1:19">
      <c r="A965" t="str">
        <f>TRIM(CONCATENATE(ClientInfo[[#This Row],[First Name]], " ",ClientInfo[[#This Row],[Last Name]]))</f>
        <v>Sabrina</v>
      </c>
      <c r="B965" t="s">
        <v>1706</v>
      </c>
      <c r="F965" s="52" t="s">
        <v>2138</v>
      </c>
      <c r="Q965">
        <f>--ISNUMBER(SEARCH('RC Checklist'!$G$2,A965))</f>
        <v>0</v>
      </c>
      <c r="R965" t="str">
        <f>IF(Q965=1,COUNTIF($Q$2:$Q965,1),"")</f>
        <v/>
      </c>
      <c r="S965" t="str">
        <f>IFERROR(INDEX(ClientInfo[Full Name], MATCH(ROWS($R$2:$R965),ClientInfo[frequency], 0)),"")</f>
        <v/>
      </c>
    </row>
    <row r="966" spans="1:19">
      <c r="A966" t="str">
        <f>TRIM(CONCATENATE(ClientInfo[[#This Row],[First Name]], " ",ClientInfo[[#This Row],[Last Name]]))</f>
        <v>Sabrina Fantoni</v>
      </c>
      <c r="B966" t="s">
        <v>1706</v>
      </c>
      <c r="C966" t="s">
        <v>2568</v>
      </c>
      <c r="F966" s="52" t="s">
        <v>2138</v>
      </c>
      <c r="Q966">
        <f>--ISNUMBER(SEARCH('RC Checklist'!$G$2,A966))</f>
        <v>0</v>
      </c>
      <c r="R966" t="str">
        <f>IF(Q966=1,COUNTIF($Q$2:$Q966,1),"")</f>
        <v/>
      </c>
      <c r="S966" t="str">
        <f>IFERROR(INDEX(ClientInfo[Full Name], MATCH(ROWS($R$2:$R966),ClientInfo[frequency], 0)),"")</f>
        <v/>
      </c>
    </row>
    <row r="967" spans="1:19">
      <c r="A967" t="str">
        <f>TRIM(CONCATENATE(ClientInfo[[#This Row],[First Name]], " ",ClientInfo[[#This Row],[Last Name]]))</f>
        <v>Sally McKabe</v>
      </c>
      <c r="B967" t="s">
        <v>526</v>
      </c>
      <c r="C967" t="s">
        <v>527</v>
      </c>
      <c r="D967" t="s">
        <v>528</v>
      </c>
      <c r="F967" s="52">
        <v>4439001207</v>
      </c>
      <c r="P967" t="s">
        <v>529</v>
      </c>
      <c r="Q967">
        <f>--ISNUMBER(SEARCH('RC Checklist'!$G$2,A967))</f>
        <v>0</v>
      </c>
      <c r="R967" t="str">
        <f>IF(Q967=1,COUNTIF($Q$2:$Q967,1),"")</f>
        <v/>
      </c>
      <c r="S967" t="str">
        <f>IFERROR(INDEX(ClientInfo[Full Name], MATCH(ROWS($R$2:$R967),ClientInfo[frequency], 0)),"")</f>
        <v/>
      </c>
    </row>
    <row r="968" spans="1:19">
      <c r="A968" t="str">
        <f>TRIM(CONCATENATE(ClientInfo[[#This Row],[First Name]], " ",ClientInfo[[#This Row],[Last Name]]))</f>
        <v>Salvo</v>
      </c>
      <c r="B968" t="s">
        <v>2484</v>
      </c>
      <c r="F968" s="52">
        <v>4103081700</v>
      </c>
      <c r="P968">
        <v>80903</v>
      </c>
      <c r="Q968">
        <f>--ISNUMBER(SEARCH('RC Checklist'!$G$2,A968))</f>
        <v>0</v>
      </c>
      <c r="R968" t="str">
        <f>IF(Q968=1,COUNTIF($Q$2:$Q968,1),"")</f>
        <v/>
      </c>
      <c r="S968" t="str">
        <f>IFERROR(INDEX(ClientInfo[Full Name], MATCH(ROWS($R$2:$R968),ClientInfo[frequency], 0)),"")</f>
        <v/>
      </c>
    </row>
    <row r="969" spans="1:19">
      <c r="A969" t="str">
        <f>TRIM(CONCATENATE(ClientInfo[[#This Row],[First Name]], " ",ClientInfo[[#This Row],[Last Name]]))</f>
        <v>Sams Club</v>
      </c>
      <c r="B969" t="s">
        <v>887</v>
      </c>
      <c r="D969" t="s">
        <v>887</v>
      </c>
      <c r="F969" s="52" t="s">
        <v>888</v>
      </c>
      <c r="Q969">
        <f>--ISNUMBER(SEARCH('RC Checklist'!$G$2,A969))</f>
        <v>0</v>
      </c>
      <c r="R969" t="str">
        <f>IF(Q969=1,COUNTIF($Q$2:$Q969,1),"")</f>
        <v/>
      </c>
      <c r="S969" t="str">
        <f>IFERROR(INDEX(ClientInfo[Full Name], MATCH(ROWS($R$2:$R969),ClientInfo[frequency], 0)),"")</f>
        <v/>
      </c>
    </row>
    <row r="970" spans="1:19">
      <c r="A970" t="str">
        <f>TRIM(CONCATENATE(ClientInfo[[#This Row],[First Name]], " ",ClientInfo[[#This Row],[Last Name]]))</f>
        <v>Sams Creek</v>
      </c>
      <c r="B970" t="s">
        <v>1226</v>
      </c>
      <c r="C970" t="s">
        <v>1227</v>
      </c>
      <c r="H970" t="s">
        <v>1228</v>
      </c>
      <c r="Q970">
        <f>--ISNUMBER(SEARCH('RC Checklist'!$G$2,A970))</f>
        <v>0</v>
      </c>
      <c r="R970" t="str">
        <f>IF(Q970=1,COUNTIF($Q$2:$Q970,1),"")</f>
        <v/>
      </c>
      <c r="S970" t="str">
        <f>IFERROR(INDEX(ClientInfo[Full Name], MATCH(ROWS($R$2:$R970),ClientInfo[frequency], 0)),"")</f>
        <v/>
      </c>
    </row>
    <row r="971" spans="1:19">
      <c r="A971" t="str">
        <f>TRIM(CONCATENATE(ClientInfo[[#This Row],[First Name]], " ",ClientInfo[[#This Row],[Last Name]]))</f>
        <v>Sanborn Concrete</v>
      </c>
      <c r="B971" t="s">
        <v>1002</v>
      </c>
      <c r="D971" t="s">
        <v>1002</v>
      </c>
      <c r="F971" s="52" t="s">
        <v>1531</v>
      </c>
      <c r="O971" t="s">
        <v>1532</v>
      </c>
      <c r="P971" t="s">
        <v>1533</v>
      </c>
      <c r="Q971">
        <f>--ISNUMBER(SEARCH('RC Checklist'!$G$2,A971))</f>
        <v>0</v>
      </c>
      <c r="R971" t="str">
        <f>IF(Q971=1,COUNTIF($Q$2:$Q971,1),"")</f>
        <v/>
      </c>
      <c r="S971" t="str">
        <f>IFERROR(INDEX(ClientInfo[Full Name], MATCH(ROWS($R$2:$R971),ClientInfo[frequency], 0)),"")</f>
        <v/>
      </c>
    </row>
    <row r="972" spans="1:19">
      <c r="A972" t="str">
        <f>TRIM(CONCATENATE(ClientInfo[[#This Row],[First Name]], " ",ClientInfo[[#This Row],[Last Name]]))</f>
        <v>Sandy</v>
      </c>
      <c r="B972" t="s">
        <v>1926</v>
      </c>
      <c r="D972" t="s">
        <v>1935</v>
      </c>
      <c r="F972" s="52">
        <v>14435287521</v>
      </c>
      <c r="Q972">
        <f>--ISNUMBER(SEARCH('RC Checklist'!$G$2,A972))</f>
        <v>0</v>
      </c>
      <c r="R972" t="str">
        <f>IF(Q972=1,COUNTIF($Q$2:$Q972,1),"")</f>
        <v/>
      </c>
      <c r="S972" t="str">
        <f>IFERROR(INDEX(ClientInfo[Full Name], MATCH(ROWS($R$2:$R972),ClientInfo[frequency], 0)),"")</f>
        <v/>
      </c>
    </row>
    <row r="973" spans="1:19">
      <c r="A973" t="str">
        <f>TRIM(CONCATENATE(ClientInfo[[#This Row],[First Name]], " ",ClientInfo[[#This Row],[Last Name]]))</f>
        <v>Sandy Daw</v>
      </c>
      <c r="B973" t="s">
        <v>1926</v>
      </c>
      <c r="C973" t="s">
        <v>1822</v>
      </c>
      <c r="F973" s="52">
        <v>4103579353</v>
      </c>
      <c r="Q973">
        <f>--ISNUMBER(SEARCH('RC Checklist'!$G$2,A973))</f>
        <v>0</v>
      </c>
      <c r="R973" t="str">
        <f>IF(Q973=1,COUNTIF($Q$2:$Q973,1),"")</f>
        <v/>
      </c>
      <c r="S973" t="str">
        <f>IFERROR(INDEX(ClientInfo[Full Name], MATCH(ROWS($R$2:$R973),ClientInfo[frequency], 0)),"")</f>
        <v/>
      </c>
    </row>
    <row r="974" spans="1:19">
      <c r="A974" t="str">
        <f>TRIM(CONCATENATE(ClientInfo[[#This Row],[First Name]], " ",ClientInfo[[#This Row],[Last Name]]))</f>
        <v>Sandy Love</v>
      </c>
      <c r="B974" t="s">
        <v>1718</v>
      </c>
      <c r="F974" s="52">
        <v>4104905753</v>
      </c>
      <c r="Q974">
        <f>--ISNUMBER(SEARCH('RC Checklist'!$G$2,A974))</f>
        <v>0</v>
      </c>
      <c r="R974" t="str">
        <f>IF(Q974=1,COUNTIF($Q$2:$Q974,1),"")</f>
        <v/>
      </c>
      <c r="S974" t="str">
        <f>IFERROR(INDEX(ClientInfo[Full Name], MATCH(ROWS($R$2:$R974),ClientInfo[frequency], 0)),"")</f>
        <v/>
      </c>
    </row>
    <row r="975" spans="1:19">
      <c r="A975" t="str">
        <f>TRIM(CONCATENATE(ClientInfo[[#This Row],[First Name]], " ",ClientInfo[[#This Row],[Last Name]]))</f>
        <v>Sarah</v>
      </c>
      <c r="B975" t="s">
        <v>676</v>
      </c>
      <c r="D975" t="s">
        <v>2703</v>
      </c>
      <c r="Q975">
        <f>--ISNUMBER(SEARCH('RC Checklist'!$G$2,A975))</f>
        <v>0</v>
      </c>
      <c r="R975" t="str">
        <f>IF(Q975=1,COUNTIF($Q$2:$Q975,1),"")</f>
        <v/>
      </c>
      <c r="S975" t="str">
        <f>IFERROR(INDEX(ClientInfo[Full Name], MATCH(ROWS($R$2:$R975),ClientInfo[frequency], 0)),"")</f>
        <v/>
      </c>
    </row>
    <row r="976" spans="1:19">
      <c r="A976" t="str">
        <f>TRIM(CONCATENATE(ClientInfo[[#This Row],[First Name]], " ",ClientInfo[[#This Row],[Last Name]]))</f>
        <v>Sarah &amp; Greg Martin</v>
      </c>
      <c r="B976" t="s">
        <v>1754</v>
      </c>
      <c r="C976" t="s">
        <v>712</v>
      </c>
      <c r="F976" s="52" t="s">
        <v>1755</v>
      </c>
      <c r="H976" t="s">
        <v>1756</v>
      </c>
      <c r="O976" t="s">
        <v>1757</v>
      </c>
      <c r="Q976">
        <f>--ISNUMBER(SEARCH('RC Checklist'!$G$2,A976))</f>
        <v>0</v>
      </c>
      <c r="R976" t="str">
        <f>IF(Q976=1,COUNTIF($Q$2:$Q976,1),"")</f>
        <v/>
      </c>
      <c r="S976" t="str">
        <f>IFERROR(INDEX(ClientInfo[Full Name], MATCH(ROWS($R$2:$R976),ClientInfo[frequency], 0)),"")</f>
        <v/>
      </c>
    </row>
    <row r="977" spans="1:19">
      <c r="A977" t="str">
        <f>TRIM(CONCATENATE(ClientInfo[[#This Row],[First Name]], " ",ClientInfo[[#This Row],[Last Name]]))</f>
        <v>Sarah Bush</v>
      </c>
      <c r="B977" t="s">
        <v>676</v>
      </c>
      <c r="C977" t="s">
        <v>1006</v>
      </c>
      <c r="F977" s="52" t="s">
        <v>1007</v>
      </c>
      <c r="Q977">
        <f>--ISNUMBER(SEARCH('RC Checklist'!$G$2,A977))</f>
        <v>0</v>
      </c>
      <c r="R977" t="str">
        <f>IF(Q977=1,COUNTIF($Q$2:$Q977,1),"")</f>
        <v/>
      </c>
      <c r="S977" t="str">
        <f>IFERROR(INDEX(ClientInfo[Full Name], MATCH(ROWS($R$2:$R977),ClientInfo[frequency], 0)),"")</f>
        <v/>
      </c>
    </row>
    <row r="978" spans="1:19">
      <c r="A978" t="str">
        <f>TRIM(CONCATENATE(ClientInfo[[#This Row],[First Name]], " ",ClientInfo[[#This Row],[Last Name]]))</f>
        <v>Sarah Egorin-hooper</v>
      </c>
      <c r="B978" t="s">
        <v>676</v>
      </c>
      <c r="C978" t="s">
        <v>1395</v>
      </c>
      <c r="D978" t="s">
        <v>1396</v>
      </c>
      <c r="F978" s="52">
        <v>4436324127</v>
      </c>
      <c r="Q978">
        <f>--ISNUMBER(SEARCH('RC Checklist'!$G$2,A978))</f>
        <v>0</v>
      </c>
      <c r="R978" t="str">
        <f>IF(Q978=1,COUNTIF($Q$2:$Q978,1),"")</f>
        <v/>
      </c>
      <c r="S978" t="str">
        <f>IFERROR(INDEX(ClientInfo[Full Name], MATCH(ROWS($R$2:$R978),ClientInfo[frequency], 0)),"")</f>
        <v/>
      </c>
    </row>
    <row r="979" spans="1:19">
      <c r="A979" t="str">
        <f>TRIM(CONCATENATE(ClientInfo[[#This Row],[First Name]], " ",ClientInfo[[#This Row],[Last Name]]))</f>
        <v>Sarah Lyon</v>
      </c>
      <c r="B979" t="s">
        <v>676</v>
      </c>
      <c r="C979" t="s">
        <v>2016</v>
      </c>
      <c r="F979" s="52">
        <v>2157386175</v>
      </c>
      <c r="H979" t="s">
        <v>2017</v>
      </c>
      <c r="Q979">
        <f>--ISNUMBER(SEARCH('RC Checklist'!$G$2,A979))</f>
        <v>0</v>
      </c>
      <c r="R979" t="str">
        <f>IF(Q979=1,COUNTIF($Q$2:$Q979,1),"")</f>
        <v/>
      </c>
      <c r="S979" t="str">
        <f>IFERROR(INDEX(ClientInfo[Full Name], MATCH(ROWS($R$2:$R979),ClientInfo[frequency], 0)),"")</f>
        <v/>
      </c>
    </row>
    <row r="980" spans="1:19">
      <c r="A980" t="str">
        <f>TRIM(CONCATENATE(ClientInfo[[#This Row],[First Name]], " ",ClientInfo[[#This Row],[Last Name]]))</f>
        <v>Sarah Martin</v>
      </c>
      <c r="B980" t="s">
        <v>676</v>
      </c>
      <c r="C980" t="s">
        <v>712</v>
      </c>
      <c r="F980" s="52" t="s">
        <v>1461</v>
      </c>
      <c r="Q980">
        <f>--ISNUMBER(SEARCH('RC Checklist'!$G$2,A980))</f>
        <v>0</v>
      </c>
      <c r="R980" t="str">
        <f>IF(Q980=1,COUNTIF($Q$2:$Q980,1),"")</f>
        <v/>
      </c>
      <c r="S980" t="str">
        <f>IFERROR(INDEX(ClientInfo[Full Name], MATCH(ROWS($R$2:$R980),ClientInfo[frequency], 0)),"")</f>
        <v/>
      </c>
    </row>
    <row r="981" spans="1:19">
      <c r="A981" t="str">
        <f>TRIM(CONCATENATE(ClientInfo[[#This Row],[First Name]], " ",ClientInfo[[#This Row],[Last Name]]))</f>
        <v>Sarah Miller</v>
      </c>
      <c r="B981" t="s">
        <v>676</v>
      </c>
      <c r="C981" t="s">
        <v>1426</v>
      </c>
      <c r="F981" s="52" t="s">
        <v>1427</v>
      </c>
      <c r="H981">
        <v>7178913962</v>
      </c>
      <c r="Q981">
        <f>--ISNUMBER(SEARCH('RC Checklist'!$G$2,A981))</f>
        <v>0</v>
      </c>
      <c r="R981" t="str">
        <f>IF(Q981=1,COUNTIF($Q$2:$Q981,1),"")</f>
        <v/>
      </c>
      <c r="S981" t="str">
        <f>IFERROR(INDEX(ClientInfo[Full Name], MATCH(ROWS($R$2:$R981),ClientInfo[frequency], 0)),"")</f>
        <v/>
      </c>
    </row>
    <row r="982" spans="1:19">
      <c r="A982" t="str">
        <f>TRIM(CONCATENATE(ClientInfo[[#This Row],[First Name]], " ",ClientInfo[[#This Row],[Last Name]]))</f>
        <v>Sarah Scott</v>
      </c>
      <c r="B982" t="s">
        <v>676</v>
      </c>
      <c r="C982" t="s">
        <v>254</v>
      </c>
      <c r="F982" s="52" t="s">
        <v>1623</v>
      </c>
      <c r="G982" s="52" t="s">
        <v>1624</v>
      </c>
      <c r="Q982">
        <f>--ISNUMBER(SEARCH('RC Checklist'!$G$2,A982))</f>
        <v>0</v>
      </c>
      <c r="R982" t="str">
        <f>IF(Q982=1,COUNTIF($Q$2:$Q982,1),"")</f>
        <v/>
      </c>
      <c r="S982" t="str">
        <f>IFERROR(INDEX(ClientInfo[Full Name], MATCH(ROWS($R$2:$R982),ClientInfo[frequency], 0)),"")</f>
        <v/>
      </c>
    </row>
    <row r="983" spans="1:19">
      <c r="A983" t="str">
        <f>TRIM(CONCATENATE(ClientInfo[[#This Row],[First Name]], " ",ClientInfo[[#This Row],[Last Name]]))</f>
        <v>Sarah Stein</v>
      </c>
      <c r="B983" t="s">
        <v>676</v>
      </c>
      <c r="C983" t="s">
        <v>646</v>
      </c>
      <c r="F983" s="52">
        <v>4109528275</v>
      </c>
      <c r="Q983">
        <f>--ISNUMBER(SEARCH('RC Checklist'!$G$2,A983))</f>
        <v>0</v>
      </c>
      <c r="R983" t="str">
        <f>IF(Q983=1,COUNTIF($Q$2:$Q983,1),"")</f>
        <v/>
      </c>
      <c r="S983" t="str">
        <f>IFERROR(INDEX(ClientInfo[Full Name], MATCH(ROWS($R$2:$R983),ClientInfo[frequency], 0)),"")</f>
        <v/>
      </c>
    </row>
    <row r="984" spans="1:19">
      <c r="A984" t="str">
        <f>TRIM(CONCATENATE(ClientInfo[[#This Row],[First Name]], " ",ClientInfo[[#This Row],[Last Name]]))</f>
        <v>Sarah Walker</v>
      </c>
      <c r="B984" t="s">
        <v>676</v>
      </c>
      <c r="C984" t="s">
        <v>271</v>
      </c>
      <c r="D984" t="s">
        <v>1604</v>
      </c>
      <c r="F984" s="52">
        <v>14432739007</v>
      </c>
      <c r="H984" t="s">
        <v>1605</v>
      </c>
      <c r="Q984">
        <f>--ISNUMBER(SEARCH('RC Checklist'!$G$2,A984))</f>
        <v>0</v>
      </c>
      <c r="R984" t="str">
        <f>IF(Q984=1,COUNTIF($Q$2:$Q984,1),"")</f>
        <v/>
      </c>
      <c r="S984" t="str">
        <f>IFERROR(INDEX(ClientInfo[Full Name], MATCH(ROWS($R$2:$R984),ClientInfo[frequency], 0)),"")</f>
        <v/>
      </c>
    </row>
    <row r="985" spans="1:19">
      <c r="A985" t="str">
        <f>TRIM(CONCATENATE(ClientInfo[[#This Row],[First Name]], " ",ClientInfo[[#This Row],[Last Name]]))</f>
        <v>Scarlett</v>
      </c>
      <c r="B985" t="s">
        <v>283</v>
      </c>
      <c r="F985" s="52">
        <v>4102595035</v>
      </c>
      <c r="O985" t="s">
        <v>284</v>
      </c>
      <c r="Q985">
        <f>--ISNUMBER(SEARCH('RC Checklist'!$G$2,A985))</f>
        <v>0</v>
      </c>
      <c r="R985" t="str">
        <f>IF(Q985=1,COUNTIF($Q$2:$Q985,1),"")</f>
        <v/>
      </c>
      <c r="S985" t="str">
        <f>IFERROR(INDEX(ClientInfo[Full Name], MATCH(ROWS($R$2:$R985),ClientInfo[frequency], 0)),"")</f>
        <v/>
      </c>
    </row>
    <row r="986" spans="1:19">
      <c r="A986" t="str">
        <f>TRIM(CONCATENATE(ClientInfo[[#This Row],[First Name]], " ",ClientInfo[[#This Row],[Last Name]]))</f>
        <v>Schluter Customer Service</v>
      </c>
      <c r="B986" t="s">
        <v>871</v>
      </c>
      <c r="C986" t="s">
        <v>872</v>
      </c>
      <c r="Q986">
        <f>--ISNUMBER(SEARCH('RC Checklist'!$G$2,A986))</f>
        <v>0</v>
      </c>
      <c r="R986" t="str">
        <f>IF(Q986=1,COUNTIF($Q$2:$Q986,1),"")</f>
        <v/>
      </c>
      <c r="S986" t="str">
        <f>IFERROR(INDEX(ClientInfo[Full Name], MATCH(ROWS($R$2:$R986),ClientInfo[frequency], 0)),"")</f>
        <v/>
      </c>
    </row>
    <row r="987" spans="1:19">
      <c r="A987" t="str">
        <f>TRIM(CONCATENATE(ClientInfo[[#This Row],[First Name]], " ",ClientInfo[[#This Row],[Last Name]]))</f>
        <v>Scott</v>
      </c>
      <c r="B987" t="s">
        <v>254</v>
      </c>
      <c r="D987" t="s">
        <v>1469</v>
      </c>
      <c r="F987" s="52">
        <v>4432508772</v>
      </c>
      <c r="G987" s="52">
        <v>4103208059</v>
      </c>
      <c r="Q987">
        <f>--ISNUMBER(SEARCH('RC Checklist'!$G$2,A987))</f>
        <v>0</v>
      </c>
      <c r="R987" t="str">
        <f>IF(Q987=1,COUNTIF($Q$2:$Q987,1),"")</f>
        <v/>
      </c>
      <c r="S987" t="str">
        <f>IFERROR(INDEX(ClientInfo[Full Name], MATCH(ROWS($R$2:$R987),ClientInfo[frequency], 0)),"")</f>
        <v/>
      </c>
    </row>
    <row r="988" spans="1:19">
      <c r="A988" t="str">
        <f>TRIM(CONCATENATE(ClientInfo[[#This Row],[First Name]], " ",ClientInfo[[#This Row],[Last Name]]))</f>
        <v>Scott &amp; Judy Hertherington</v>
      </c>
      <c r="B988" t="s">
        <v>2004</v>
      </c>
      <c r="C988" t="s">
        <v>2005</v>
      </c>
      <c r="F988" s="52">
        <v>4433305820</v>
      </c>
      <c r="H988" t="s">
        <v>2006</v>
      </c>
      <c r="O988" t="s">
        <v>2007</v>
      </c>
      <c r="P988" t="s">
        <v>2008</v>
      </c>
      <c r="Q988">
        <f>--ISNUMBER(SEARCH('RC Checklist'!$G$2,A988))</f>
        <v>0</v>
      </c>
      <c r="R988" t="str">
        <f>IF(Q988=1,COUNTIF($Q$2:$Q988,1),"")</f>
        <v/>
      </c>
      <c r="S988" t="str">
        <f>IFERROR(INDEX(ClientInfo[Full Name], MATCH(ROWS($R$2:$R988),ClientInfo[frequency], 0)),"")</f>
        <v/>
      </c>
    </row>
    <row r="989" spans="1:19">
      <c r="A989" t="str">
        <f>TRIM(CONCATENATE(ClientInfo[[#This Row],[First Name]], " ",ClientInfo[[#This Row],[Last Name]]))</f>
        <v>Scott &amp; Kerri Nicholson</v>
      </c>
      <c r="B989" t="s">
        <v>690</v>
      </c>
      <c r="C989" t="s">
        <v>691</v>
      </c>
      <c r="F989" s="52" t="s">
        <v>693</v>
      </c>
      <c r="G989" s="52" t="s">
        <v>692</v>
      </c>
      <c r="Q989">
        <f>--ISNUMBER(SEARCH('RC Checklist'!$G$2,A989))</f>
        <v>0</v>
      </c>
      <c r="R989" t="str">
        <f>IF(Q989=1,COUNTIF($Q$2:$Q989,1),"")</f>
        <v/>
      </c>
      <c r="S989" t="str">
        <f>IFERROR(INDEX(ClientInfo[Full Name], MATCH(ROWS($R$2:$R989),ClientInfo[frequency], 0)),"")</f>
        <v/>
      </c>
    </row>
    <row r="990" spans="1:19">
      <c r="A990" t="str">
        <f>TRIM(CONCATENATE(ClientInfo[[#This Row],[First Name]], " ",ClientInfo[[#This Row],[Last Name]]))</f>
        <v>Scott davison</v>
      </c>
      <c r="B990" t="s">
        <v>254</v>
      </c>
      <c r="C990" t="s">
        <v>318</v>
      </c>
      <c r="Q990">
        <f>--ISNUMBER(SEARCH('RC Checklist'!$G$2,A990))</f>
        <v>0</v>
      </c>
      <c r="R990" t="str">
        <f>IF(Q990=1,COUNTIF($Q$2:$Q990,1),"")</f>
        <v/>
      </c>
      <c r="S990" t="str">
        <f>IFERROR(INDEX(ClientInfo[Full Name], MATCH(ROWS($R$2:$R990),ClientInfo[frequency], 0)),"")</f>
        <v/>
      </c>
    </row>
    <row r="991" spans="1:19">
      <c r="A991" t="str">
        <f>TRIM(CONCATENATE(ClientInfo[[#This Row],[First Name]], " ",ClientInfo[[#This Row],[Last Name]]))</f>
        <v>Scott Gobell</v>
      </c>
      <c r="B991" t="s">
        <v>254</v>
      </c>
      <c r="C991" t="s">
        <v>2434</v>
      </c>
      <c r="Q991">
        <f>--ISNUMBER(SEARCH('RC Checklist'!$G$2,A991))</f>
        <v>0</v>
      </c>
      <c r="R991" t="str">
        <f>IF(Q991=1,COUNTIF($Q$2:$Q991,1),"")</f>
        <v/>
      </c>
      <c r="S991" t="str">
        <f>IFERROR(INDEX(ClientInfo[Full Name], MATCH(ROWS($R$2:$R991),ClientInfo[frequency], 0)),"")</f>
        <v/>
      </c>
    </row>
    <row r="992" spans="1:19">
      <c r="A992" t="str">
        <f>TRIM(CONCATENATE(ClientInfo[[#This Row],[First Name]], " ",ClientInfo[[#This Row],[Last Name]]))</f>
        <v>Scott McKelvie</v>
      </c>
      <c r="B992" t="s">
        <v>254</v>
      </c>
      <c r="C992" t="s">
        <v>1037</v>
      </c>
      <c r="F992" s="52">
        <v>4102079861</v>
      </c>
      <c r="Q992">
        <f>--ISNUMBER(SEARCH('RC Checklist'!$G$2,A992))</f>
        <v>0</v>
      </c>
      <c r="R992" t="str">
        <f>IF(Q992=1,COUNTIF($Q$2:$Q992,1),"")</f>
        <v/>
      </c>
      <c r="S992" t="str">
        <f>IFERROR(INDEX(ClientInfo[Full Name], MATCH(ROWS($R$2:$R992),ClientInfo[frequency], 0)),"")</f>
        <v/>
      </c>
    </row>
    <row r="993" spans="1:19">
      <c r="A993" t="str">
        <f>TRIM(CONCATENATE(ClientInfo[[#This Row],[First Name]], " ",ClientInfo[[#This Row],[Last Name]]))</f>
        <v>Scott Meadowcroft</v>
      </c>
      <c r="B993" t="s">
        <v>254</v>
      </c>
      <c r="C993" t="s">
        <v>1149</v>
      </c>
      <c r="F993" s="52">
        <v>14437974672</v>
      </c>
      <c r="Q993">
        <f>--ISNUMBER(SEARCH('RC Checklist'!$G$2,A993))</f>
        <v>0</v>
      </c>
      <c r="R993" t="str">
        <f>IF(Q993=1,COUNTIF($Q$2:$Q993,1),"")</f>
        <v/>
      </c>
      <c r="S993" t="str">
        <f>IFERROR(INDEX(ClientInfo[Full Name], MATCH(ROWS($R$2:$R993),ClientInfo[frequency], 0)),"")</f>
        <v/>
      </c>
    </row>
    <row r="994" spans="1:19">
      <c r="A994" t="str">
        <f>TRIM(CONCATENATE(ClientInfo[[#This Row],[First Name]], " ",ClientInfo[[#This Row],[Last Name]]))</f>
        <v>Scott Mitcherling</v>
      </c>
      <c r="B994" t="s">
        <v>254</v>
      </c>
      <c r="C994" t="s">
        <v>223</v>
      </c>
      <c r="F994" s="52">
        <v>4434635964</v>
      </c>
      <c r="Q994">
        <f>--ISNUMBER(SEARCH('RC Checklist'!$G$2,A994))</f>
        <v>0</v>
      </c>
      <c r="R994" t="str">
        <f>IF(Q994=1,COUNTIF($Q$2:$Q994,1),"")</f>
        <v/>
      </c>
      <c r="S994" t="str">
        <f>IFERROR(INDEX(ClientInfo[Full Name], MATCH(ROWS($R$2:$R994),ClientInfo[frequency], 0)),"")</f>
        <v/>
      </c>
    </row>
    <row r="995" spans="1:19">
      <c r="A995" t="str">
        <f>TRIM(CONCATENATE(ClientInfo[[#This Row],[First Name]], " ",ClientInfo[[#This Row],[Last Name]]))</f>
        <v>Scott Morse</v>
      </c>
      <c r="B995" t="s">
        <v>254</v>
      </c>
      <c r="C995" t="s">
        <v>1420</v>
      </c>
      <c r="D995" t="s">
        <v>1421</v>
      </c>
      <c r="F995" s="52" t="s">
        <v>1422</v>
      </c>
      <c r="Q995">
        <f>--ISNUMBER(SEARCH('RC Checklist'!$G$2,A995))</f>
        <v>0</v>
      </c>
      <c r="R995" t="str">
        <f>IF(Q995=1,COUNTIF($Q$2:$Q995,1),"")</f>
        <v/>
      </c>
      <c r="S995" t="str">
        <f>IFERROR(INDEX(ClientInfo[Full Name], MATCH(ROWS($R$2:$R995),ClientInfo[frequency], 0)),"")</f>
        <v/>
      </c>
    </row>
    <row r="996" spans="1:19">
      <c r="A996" t="str">
        <f>TRIM(CONCATENATE(ClientInfo[[#This Row],[First Name]], " ",ClientInfo[[#This Row],[Last Name]]))</f>
        <v>Scott Parker</v>
      </c>
      <c r="B996" t="s">
        <v>254</v>
      </c>
      <c r="C996" t="s">
        <v>255</v>
      </c>
      <c r="D996" t="s">
        <v>256</v>
      </c>
      <c r="E996" t="s">
        <v>257</v>
      </c>
      <c r="F996" s="52">
        <v>4108380076</v>
      </c>
      <c r="H996" t="s">
        <v>258</v>
      </c>
      <c r="O996" t="s">
        <v>259</v>
      </c>
      <c r="Q996">
        <f>--ISNUMBER(SEARCH('RC Checklist'!$G$2,A996))</f>
        <v>0</v>
      </c>
      <c r="R996" t="str">
        <f>IF(Q996=1,COUNTIF($Q$2:$Q996,1),"")</f>
        <v/>
      </c>
      <c r="S996" t="str">
        <f>IFERROR(INDEX(ClientInfo[Full Name], MATCH(ROWS($R$2:$R996),ClientInfo[frequency], 0)),"")</f>
        <v/>
      </c>
    </row>
    <row r="997" spans="1:19">
      <c r="A997" t="str">
        <f>TRIM(CONCATENATE(ClientInfo[[#This Row],[First Name]], " ",ClientInfo[[#This Row],[Last Name]]))</f>
        <v>Scott streeter</v>
      </c>
      <c r="B997" t="s">
        <v>254</v>
      </c>
      <c r="C997" t="s">
        <v>1555</v>
      </c>
      <c r="D997" t="s">
        <v>1556</v>
      </c>
      <c r="F997" s="52">
        <v>4109605177</v>
      </c>
      <c r="Q997">
        <f>--ISNUMBER(SEARCH('RC Checklist'!$G$2,A997))</f>
        <v>0</v>
      </c>
      <c r="R997" t="str">
        <f>IF(Q997=1,COUNTIF($Q$2:$Q997,1),"")</f>
        <v/>
      </c>
      <c r="S997" t="str">
        <f>IFERROR(INDEX(ClientInfo[Full Name], MATCH(ROWS($R$2:$R997),ClientInfo[frequency], 0)),"")</f>
        <v/>
      </c>
    </row>
    <row r="998" spans="1:19">
      <c r="A998" t="str">
        <f>TRIM(CONCATENATE(ClientInfo[[#This Row],[First Name]], " ",ClientInfo[[#This Row],[Last Name]]))</f>
        <v>Scott Tar roofing</v>
      </c>
      <c r="B998" t="s">
        <v>53</v>
      </c>
      <c r="C998" t="s">
        <v>54</v>
      </c>
      <c r="F998" s="52">
        <v>4439877081</v>
      </c>
      <c r="Q998">
        <f>--ISNUMBER(SEARCH('RC Checklist'!$G$2,A998))</f>
        <v>0</v>
      </c>
      <c r="R998" t="str">
        <f>IF(Q998=1,COUNTIF($Q$2:$Q998,1),"")</f>
        <v/>
      </c>
      <c r="S998" t="str">
        <f>IFERROR(INDEX(ClientInfo[Full Name], MATCH(ROWS($R$2:$R998),ClientInfo[frequency], 0)),"")</f>
        <v/>
      </c>
    </row>
    <row r="999" spans="1:19">
      <c r="A999" t="str">
        <f>TRIM(CONCATENATE(ClientInfo[[#This Row],[First Name]], " ",ClientInfo[[#This Row],[Last Name]]))</f>
        <v>Scott&amp;ally Reber</v>
      </c>
      <c r="B999" t="s">
        <v>1440</v>
      </c>
      <c r="C999" t="s">
        <v>1441</v>
      </c>
      <c r="F999" s="52" t="s">
        <v>1442</v>
      </c>
      <c r="G999" s="52" t="s">
        <v>1443</v>
      </c>
      <c r="Q999">
        <f>--ISNUMBER(SEARCH('RC Checklist'!$G$2,A999))</f>
        <v>0</v>
      </c>
      <c r="R999" t="str">
        <f>IF(Q999=1,COUNTIF($Q$2:$Q999,1),"")</f>
        <v/>
      </c>
      <c r="S999" t="str">
        <f>IFERROR(INDEX(ClientInfo[Full Name], MATCH(ROWS($R$2:$R999),ClientInfo[frequency], 0)),"")</f>
        <v/>
      </c>
    </row>
    <row r="1000" spans="1:19">
      <c r="A1000" t="str">
        <f>TRIM(CONCATENATE(ClientInfo[[#This Row],[First Name]], " ",ClientInfo[[#This Row],[Last Name]]))</f>
        <v>Sean</v>
      </c>
      <c r="B1000" t="s">
        <v>1107</v>
      </c>
      <c r="D1000" t="s">
        <v>1108</v>
      </c>
      <c r="Q1000">
        <f>--ISNUMBER(SEARCH('RC Checklist'!$G$2,A1000))</f>
        <v>0</v>
      </c>
      <c r="R1000" t="str">
        <f>IF(Q1000=1,COUNTIF($Q$2:$Q1000,1),"")</f>
        <v/>
      </c>
      <c r="S1000" t="str">
        <f>IFERROR(INDEX(ClientInfo[Full Name], MATCH(ROWS($R$2:$R1000),ClientInfo[frequency], 0)),"")</f>
        <v/>
      </c>
    </row>
    <row r="1001" spans="1:19">
      <c r="A1001" t="str">
        <f>TRIM(CONCATENATE(ClientInfo[[#This Row],[First Name]], " ",ClientInfo[[#This Row],[Last Name]]))</f>
        <v>Sean Caine</v>
      </c>
      <c r="B1001" t="s">
        <v>1107</v>
      </c>
      <c r="C1001" t="s">
        <v>1159</v>
      </c>
      <c r="F1001" s="52" t="s">
        <v>1966</v>
      </c>
      <c r="Q1001">
        <f>--ISNUMBER(SEARCH('RC Checklist'!$G$2,A1001))</f>
        <v>0</v>
      </c>
      <c r="R1001" t="str">
        <f>IF(Q1001=1,COUNTIF($Q$2:$Q1001,1),"")</f>
        <v/>
      </c>
      <c r="S1001" t="str">
        <f>IFERROR(INDEX(ClientInfo[Full Name], MATCH(ROWS($R$2:$R1001),ClientInfo[frequency], 0)),"")</f>
        <v/>
      </c>
    </row>
    <row r="1002" spans="1:19">
      <c r="A1002" t="str">
        <f>TRIM(CONCATENATE(ClientInfo[[#This Row],[First Name]], " ",ClientInfo[[#This Row],[Last Name]]))</f>
        <v>Sean Hogan</v>
      </c>
      <c r="B1002" t="s">
        <v>1107</v>
      </c>
      <c r="C1002" t="s">
        <v>1472</v>
      </c>
      <c r="Q1002">
        <f>--ISNUMBER(SEARCH('RC Checklist'!$G$2,A1002))</f>
        <v>0</v>
      </c>
      <c r="R1002" t="str">
        <f>IF(Q1002=1,COUNTIF($Q$2:$Q1002,1),"")</f>
        <v/>
      </c>
      <c r="S1002" t="str">
        <f>IFERROR(INDEX(ClientInfo[Full Name], MATCH(ROWS($R$2:$R1002),ClientInfo[frequency], 0)),"")</f>
        <v/>
      </c>
    </row>
    <row r="1003" spans="1:19">
      <c r="A1003" t="str">
        <f>TRIM(CONCATENATE(ClientInfo[[#This Row],[First Name]], " ",ClientInfo[[#This Row],[Last Name]]))</f>
        <v>Sean Kump</v>
      </c>
      <c r="B1003" t="s">
        <v>1107</v>
      </c>
      <c r="C1003" t="s">
        <v>1897</v>
      </c>
      <c r="Q1003">
        <f>--ISNUMBER(SEARCH('RC Checklist'!$G$2,A1003))</f>
        <v>0</v>
      </c>
      <c r="R1003" t="str">
        <f>IF(Q1003=1,COUNTIF($Q$2:$Q1003,1),"")</f>
        <v/>
      </c>
      <c r="S1003" t="str">
        <f>IFERROR(INDEX(ClientInfo[Full Name], MATCH(ROWS($R$2:$R1003),ClientInfo[frequency], 0)),"")</f>
        <v/>
      </c>
    </row>
    <row r="1004" spans="1:19">
      <c r="A1004" t="str">
        <f>TRIM(CONCATENATE(ClientInfo[[#This Row],[First Name]], " ",ClientInfo[[#This Row],[Last Name]]))</f>
        <v>Sears Holdings</v>
      </c>
      <c r="B1004" t="s">
        <v>1270</v>
      </c>
      <c r="C1004" t="s">
        <v>1271</v>
      </c>
      <c r="F1004" s="52">
        <v>18004796351</v>
      </c>
      <c r="G1004" s="52">
        <v>4107718326</v>
      </c>
      <c r="O1004" t="s">
        <v>2955</v>
      </c>
      <c r="Q1004">
        <f>--ISNUMBER(SEARCH('RC Checklist'!$G$2,A1004))</f>
        <v>0</v>
      </c>
      <c r="R1004" t="str">
        <f>IF(Q1004=1,COUNTIF($Q$2:$Q1004,1),"")</f>
        <v/>
      </c>
      <c r="S1004" t="str">
        <f>IFERROR(INDEX(ClientInfo[Full Name], MATCH(ROWS($R$2:$R1004),ClientInfo[frequency], 0)),"")</f>
        <v/>
      </c>
    </row>
    <row r="1005" spans="1:19">
      <c r="A1005" t="str">
        <f>TRIM(CONCATENATE(ClientInfo[[#This Row],[First Name]], " ",ClientInfo[[#This Row],[Last Name]]))</f>
        <v>Second Chance</v>
      </c>
      <c r="B1005" t="s">
        <v>1948</v>
      </c>
      <c r="D1005" t="s">
        <v>1948</v>
      </c>
      <c r="F1005" s="52" t="s">
        <v>1949</v>
      </c>
      <c r="O1005" t="s">
        <v>1950</v>
      </c>
      <c r="Q1005">
        <f>--ISNUMBER(SEARCH('RC Checklist'!$G$2,A1005))</f>
        <v>0</v>
      </c>
      <c r="R1005" t="str">
        <f>IF(Q1005=1,COUNTIF($Q$2:$Q1005,1),"")</f>
        <v/>
      </c>
      <c r="S1005" t="str">
        <f>IFERROR(INDEX(ClientInfo[Full Name], MATCH(ROWS($R$2:$R1005),ClientInfo[frequency], 0)),"")</f>
        <v/>
      </c>
    </row>
    <row r="1006" spans="1:19">
      <c r="A1006" t="str">
        <f>TRIM(CONCATENATE(ClientInfo[[#This Row],[First Name]], " ",ClientInfo[[#This Row],[Last Name]]))</f>
        <v>Seema</v>
      </c>
      <c r="B1006" t="s">
        <v>2091</v>
      </c>
      <c r="F1006" s="52" t="s">
        <v>2092</v>
      </c>
      <c r="G1006" s="52">
        <v>3016029450</v>
      </c>
      <c r="Q1006">
        <f>--ISNUMBER(SEARCH('RC Checklist'!$G$2,A1006))</f>
        <v>0</v>
      </c>
      <c r="R1006" t="str">
        <f>IF(Q1006=1,COUNTIF($Q$2:$Q1006,1),"")</f>
        <v/>
      </c>
      <c r="S1006" t="str">
        <f>IFERROR(INDEX(ClientInfo[Full Name], MATCH(ROWS($R$2:$R1006),ClientInfo[frequency], 0)),"")</f>
        <v/>
      </c>
    </row>
    <row r="1007" spans="1:19">
      <c r="A1007" t="str">
        <f>TRIM(CONCATENATE(ClientInfo[[#This Row],[First Name]], " ",ClientInfo[[#This Row],[Last Name]]))</f>
        <v>Serita Weathersby</v>
      </c>
      <c r="B1007" t="s">
        <v>1253</v>
      </c>
      <c r="C1007" t="s">
        <v>1254</v>
      </c>
      <c r="D1007" t="s">
        <v>1255</v>
      </c>
      <c r="F1007" s="52" t="s">
        <v>1256</v>
      </c>
      <c r="Q1007">
        <f>--ISNUMBER(SEARCH('RC Checklist'!$G$2,A1007))</f>
        <v>0</v>
      </c>
      <c r="R1007" t="str">
        <f>IF(Q1007=1,COUNTIF($Q$2:$Q1007,1),"")</f>
        <v/>
      </c>
      <c r="S1007" t="str">
        <f>IFERROR(INDEX(ClientInfo[Full Name], MATCH(ROWS($R$2:$R1007),ClientInfo[frequency], 0)),"")</f>
        <v/>
      </c>
    </row>
    <row r="1008" spans="1:19">
      <c r="A1008" t="str">
        <f>TRIM(CONCATENATE(ClientInfo[[#This Row],[First Name]], " ",ClientInfo[[#This Row],[Last Name]]))</f>
        <v>Serpico Pizza &amp; Pasta</v>
      </c>
      <c r="B1008" t="s">
        <v>1257</v>
      </c>
      <c r="D1008" t="s">
        <v>1257</v>
      </c>
      <c r="F1008" s="52" t="s">
        <v>1258</v>
      </c>
      <c r="Q1008">
        <f>--ISNUMBER(SEARCH('RC Checklist'!$G$2,A1008))</f>
        <v>0</v>
      </c>
      <c r="R1008" t="str">
        <f>IF(Q1008=1,COUNTIF($Q$2:$Q1008,1),"")</f>
        <v/>
      </c>
      <c r="S1008" t="str">
        <f>IFERROR(INDEX(ClientInfo[Full Name], MATCH(ROWS($R$2:$R1008),ClientInfo[frequency], 0)),"")</f>
        <v/>
      </c>
    </row>
    <row r="1009" spans="1:19">
      <c r="A1009" t="str">
        <f>TRIM(CONCATENATE(ClientInfo[[#This Row],[First Name]], " ",ClientInfo[[#This Row],[Last Name]]))</f>
        <v>Seth Hamed</v>
      </c>
      <c r="B1009" t="s">
        <v>983</v>
      </c>
      <c r="C1009" t="s">
        <v>984</v>
      </c>
      <c r="F1009" s="52" t="s">
        <v>985</v>
      </c>
      <c r="Q1009">
        <f>--ISNUMBER(SEARCH('RC Checklist'!$G$2,A1009))</f>
        <v>0</v>
      </c>
      <c r="R1009" t="str">
        <f>IF(Q1009=1,COUNTIF($Q$2:$Q1009,1),"")</f>
        <v/>
      </c>
      <c r="S1009" t="str">
        <f>IFERROR(INDEX(ClientInfo[Full Name], MATCH(ROWS($R$2:$R1009),ClientInfo[frequency], 0)),"")</f>
        <v/>
      </c>
    </row>
    <row r="1010" spans="1:19">
      <c r="A1010" t="str">
        <f>TRIM(CONCATENATE(ClientInfo[[#This Row],[First Name]], " ",ClientInfo[[#This Row],[Last Name]]))</f>
        <v>Shahir Badr</v>
      </c>
      <c r="B1010" t="s">
        <v>260</v>
      </c>
      <c r="C1010" t="s">
        <v>261</v>
      </c>
      <c r="H1010" t="s">
        <v>262</v>
      </c>
      <c r="P1010" t="s">
        <v>263</v>
      </c>
      <c r="Q1010">
        <f>--ISNUMBER(SEARCH('RC Checklist'!$G$2,A1010))</f>
        <v>0</v>
      </c>
      <c r="R1010" t="str">
        <f>IF(Q1010=1,COUNTIF($Q$2:$Q1010,1),"")</f>
        <v/>
      </c>
      <c r="S1010" t="str">
        <f>IFERROR(INDEX(ClientInfo[Full Name], MATCH(ROWS($R$2:$R1010),ClientInfo[frequency], 0)),"")</f>
        <v/>
      </c>
    </row>
    <row r="1011" spans="1:19">
      <c r="A1011" t="str">
        <f>TRIM(CONCATENATE(ClientInfo[[#This Row],[First Name]], " ",ClientInfo[[#This Row],[Last Name]]))</f>
        <v>Shane</v>
      </c>
      <c r="B1011" t="s">
        <v>986</v>
      </c>
      <c r="D1011" t="s">
        <v>987</v>
      </c>
      <c r="F1011" s="52" t="s">
        <v>988</v>
      </c>
      <c r="Q1011">
        <f>--ISNUMBER(SEARCH('RC Checklist'!$G$2,A1011))</f>
        <v>0</v>
      </c>
      <c r="R1011" t="str">
        <f>IF(Q1011=1,COUNTIF($Q$2:$Q1011,1),"")</f>
        <v/>
      </c>
      <c r="S1011" t="str">
        <f>IFERROR(INDEX(ClientInfo[Full Name], MATCH(ROWS($R$2:$R1011),ClientInfo[frequency], 0)),"")</f>
        <v/>
      </c>
    </row>
    <row r="1012" spans="1:19">
      <c r="A1012" t="str">
        <f>TRIM(CONCATENATE(ClientInfo[[#This Row],[First Name]], " ",ClientInfo[[#This Row],[Last Name]]))</f>
        <v>Shanna</v>
      </c>
      <c r="B1012" t="s">
        <v>547</v>
      </c>
      <c r="F1012" s="52">
        <v>12024235794</v>
      </c>
      <c r="Q1012">
        <f>--ISNUMBER(SEARCH('RC Checklist'!$G$2,A1012))</f>
        <v>0</v>
      </c>
      <c r="R1012" t="str">
        <f>IF(Q1012=1,COUNTIF($Q$2:$Q1012,1),"")</f>
        <v/>
      </c>
      <c r="S1012" t="str">
        <f>IFERROR(INDEX(ClientInfo[Full Name], MATCH(ROWS($R$2:$R1012),ClientInfo[frequency], 0)),"")</f>
        <v/>
      </c>
    </row>
    <row r="1013" spans="1:19">
      <c r="A1013" t="str">
        <f>TRIM(CONCATENATE(ClientInfo[[#This Row],[First Name]], " ",ClientInfo[[#This Row],[Last Name]]))</f>
        <v>Shannon M. McSkimming</v>
      </c>
      <c r="B1013" t="s">
        <v>107</v>
      </c>
      <c r="C1013" t="s">
        <v>108</v>
      </c>
      <c r="D1013" t="s">
        <v>109</v>
      </c>
      <c r="E1013" t="s">
        <v>2968</v>
      </c>
      <c r="F1013" s="52">
        <v>8005448666</v>
      </c>
      <c r="P1013" t="s">
        <v>110</v>
      </c>
      <c r="Q1013">
        <f>--ISNUMBER(SEARCH('RC Checklist'!$G$2,A1013))</f>
        <v>0</v>
      </c>
      <c r="R1013" t="str">
        <f>IF(Q1013=1,COUNTIF($Q$2:$Q1013,1),"")</f>
        <v/>
      </c>
      <c r="S1013" t="str">
        <f>IFERROR(INDEX(ClientInfo[Full Name], MATCH(ROWS($R$2:$R1013),ClientInfo[frequency], 0)),"")</f>
        <v/>
      </c>
    </row>
    <row r="1014" spans="1:19">
      <c r="A1014" t="str">
        <f>TRIM(CONCATENATE(ClientInfo[[#This Row],[First Name]], " ",ClientInfo[[#This Row],[Last Name]]))</f>
        <v>Sharon Lowe</v>
      </c>
      <c r="B1014" t="s">
        <v>2326</v>
      </c>
      <c r="C1014" t="s">
        <v>1683</v>
      </c>
      <c r="D1014" t="s">
        <v>2327</v>
      </c>
      <c r="F1014" s="52">
        <v>4436761497</v>
      </c>
      <c r="Q1014">
        <f>--ISNUMBER(SEARCH('RC Checklist'!$G$2,A1014))</f>
        <v>0</v>
      </c>
      <c r="R1014" t="str">
        <f>IF(Q1014=1,COUNTIF($Q$2:$Q1014,1),"")</f>
        <v/>
      </c>
      <c r="S1014" t="str">
        <f>IFERROR(INDEX(ClientInfo[Full Name], MATCH(ROWS($R$2:$R1014),ClientInfo[frequency], 0)),"")</f>
        <v/>
      </c>
    </row>
    <row r="1015" spans="1:19">
      <c r="A1015" t="str">
        <f>TRIM(CONCATENATE(ClientInfo[[#This Row],[First Name]], " ",ClientInfo[[#This Row],[Last Name]]))</f>
        <v>Shawn &amp; Pamela mc Laughlin</v>
      </c>
      <c r="B1015" t="s">
        <v>1261</v>
      </c>
      <c r="C1015" t="s">
        <v>1262</v>
      </c>
      <c r="F1015" s="52">
        <v>4109370640</v>
      </c>
      <c r="G1015" s="52">
        <v>4108934900</v>
      </c>
      <c r="O1015" t="s">
        <v>1263</v>
      </c>
      <c r="Q1015">
        <f>--ISNUMBER(SEARCH('RC Checklist'!$G$2,A1015))</f>
        <v>0</v>
      </c>
      <c r="R1015" t="str">
        <f>IF(Q1015=1,COUNTIF($Q$2:$Q1015,1),"")</f>
        <v/>
      </c>
      <c r="S1015" t="str">
        <f>IFERROR(INDEX(ClientInfo[Full Name], MATCH(ROWS($R$2:$R1015),ClientInfo[frequency], 0)),"")</f>
        <v/>
      </c>
    </row>
    <row r="1016" spans="1:19">
      <c r="A1016" t="str">
        <f>TRIM(CONCATENATE(ClientInfo[[#This Row],[First Name]], " ",ClientInfo[[#This Row],[Last Name]]))</f>
        <v>Shawn hanley</v>
      </c>
      <c r="B1016" t="s">
        <v>709</v>
      </c>
      <c r="C1016" t="s">
        <v>710</v>
      </c>
      <c r="F1016" s="52">
        <v>4103400095</v>
      </c>
      <c r="Q1016">
        <f>--ISNUMBER(SEARCH('RC Checklist'!$G$2,A1016))</f>
        <v>0</v>
      </c>
      <c r="R1016" t="str">
        <f>IF(Q1016=1,COUNTIF($Q$2:$Q1016,1),"")</f>
        <v/>
      </c>
      <c r="S1016" t="str">
        <f>IFERROR(INDEX(ClientInfo[Full Name], MATCH(ROWS($R$2:$R1016),ClientInfo[frequency], 0)),"")</f>
        <v/>
      </c>
    </row>
    <row r="1017" spans="1:19">
      <c r="A1017" t="str">
        <f>TRIM(CONCATENATE(ClientInfo[[#This Row],[First Name]], " ",ClientInfo[[#This Row],[Last Name]]))</f>
        <v>Shawn Haviland</v>
      </c>
      <c r="B1017" t="s">
        <v>709</v>
      </c>
      <c r="C1017" t="s">
        <v>467</v>
      </c>
      <c r="F1017" s="52" t="s">
        <v>897</v>
      </c>
      <c r="Q1017">
        <f>--ISNUMBER(SEARCH('RC Checklist'!$G$2,A1017))</f>
        <v>0</v>
      </c>
      <c r="R1017" t="str">
        <f>IF(Q1017=1,COUNTIF($Q$2:$Q1017,1),"")</f>
        <v/>
      </c>
      <c r="S1017" t="str">
        <f>IFERROR(INDEX(ClientInfo[Full Name], MATCH(ROWS($R$2:$R1017),ClientInfo[frequency], 0)),"")</f>
        <v/>
      </c>
    </row>
    <row r="1018" spans="1:19">
      <c r="A1018" t="str">
        <f>TRIM(CONCATENATE(ClientInfo[[#This Row],[First Name]], " ",ClientInfo[[#This Row],[Last Name]]))</f>
        <v>Shean Goldrick</v>
      </c>
      <c r="B1018" t="s">
        <v>2614</v>
      </c>
      <c r="C1018" t="s">
        <v>2615</v>
      </c>
      <c r="F1018" s="52">
        <v>4435646779</v>
      </c>
      <c r="Q1018">
        <f>--ISNUMBER(SEARCH('RC Checklist'!$G$2,A1018))</f>
        <v>0</v>
      </c>
      <c r="R1018" t="str">
        <f>IF(Q1018=1,COUNTIF($Q$2:$Q1018,1),"")</f>
        <v/>
      </c>
      <c r="S1018" t="str">
        <f>IFERROR(INDEX(ClientInfo[Full Name], MATCH(ROWS($R$2:$R1018),ClientInfo[frequency], 0)),"")</f>
        <v/>
      </c>
    </row>
    <row r="1019" spans="1:19">
      <c r="A1019" t="str">
        <f>TRIM(CONCATENATE(ClientInfo[[#This Row],[First Name]], " ",ClientInfo[[#This Row],[Last Name]]))</f>
        <v>Sheila Feaster</v>
      </c>
      <c r="B1019" t="s">
        <v>270</v>
      </c>
      <c r="C1019" t="s">
        <v>2813</v>
      </c>
      <c r="H1019" t="s">
        <v>2814</v>
      </c>
      <c r="Q1019">
        <f>--ISNUMBER(SEARCH('RC Checklist'!$G$2,A1019))</f>
        <v>0</v>
      </c>
      <c r="R1019" t="str">
        <f>IF(Q1019=1,COUNTIF($Q$2:$Q1019,1),"")</f>
        <v/>
      </c>
      <c r="S1019" t="str">
        <f>IFERROR(INDEX(ClientInfo[Full Name], MATCH(ROWS($R$2:$R1019),ClientInfo[frequency], 0)),"")</f>
        <v/>
      </c>
    </row>
    <row r="1020" spans="1:19">
      <c r="A1020" t="str">
        <f>TRIM(CONCATENATE(ClientInfo[[#This Row],[First Name]], " ",ClientInfo[[#This Row],[Last Name]]))</f>
        <v>Sheila Walker</v>
      </c>
      <c r="B1020" t="s">
        <v>270</v>
      </c>
      <c r="C1020" t="s">
        <v>271</v>
      </c>
      <c r="D1020" t="s">
        <v>272</v>
      </c>
      <c r="E1020" t="s">
        <v>273</v>
      </c>
      <c r="F1020" s="52">
        <v>4103216060</v>
      </c>
      <c r="H1020" t="s">
        <v>274</v>
      </c>
      <c r="O1020" t="s">
        <v>275</v>
      </c>
      <c r="Q1020">
        <f>--ISNUMBER(SEARCH('RC Checklist'!$G$2,A1020))</f>
        <v>0</v>
      </c>
      <c r="R1020" t="str">
        <f>IF(Q1020=1,COUNTIF($Q$2:$Q1020,1),"")</f>
        <v/>
      </c>
      <c r="S1020" t="str">
        <f>IFERROR(INDEX(ClientInfo[Full Name], MATCH(ROWS($R$2:$R1020),ClientInfo[frequency], 0)),"")</f>
        <v/>
      </c>
    </row>
    <row r="1021" spans="1:19">
      <c r="A1021" t="str">
        <f>TRIM(CONCATENATE(ClientInfo[[#This Row],[First Name]], " ",ClientInfo[[#This Row],[Last Name]]))</f>
        <v>Sheron Cell</v>
      </c>
      <c r="B1021" t="s">
        <v>1051</v>
      </c>
      <c r="C1021" t="s">
        <v>1052</v>
      </c>
      <c r="F1021" s="52">
        <v>4434656669</v>
      </c>
      <c r="Q1021">
        <f>--ISNUMBER(SEARCH('RC Checklist'!$G$2,A1021))</f>
        <v>0</v>
      </c>
      <c r="R1021" t="str">
        <f>IF(Q1021=1,COUNTIF($Q$2:$Q1021,1),"")</f>
        <v/>
      </c>
      <c r="S1021" t="str">
        <f>IFERROR(INDEX(ClientInfo[Full Name], MATCH(ROWS($R$2:$R1021),ClientInfo[frequency], 0)),"")</f>
        <v/>
      </c>
    </row>
    <row r="1022" spans="1:19">
      <c r="A1022" t="str">
        <f>TRIM(CONCATENATE(ClientInfo[[#This Row],[First Name]], " ",ClientInfo[[#This Row],[Last Name]]))</f>
        <v>Sherrie Lewis</v>
      </c>
      <c r="B1022" t="s">
        <v>2184</v>
      </c>
      <c r="C1022" t="s">
        <v>513</v>
      </c>
      <c r="F1022" s="52">
        <v>4103710164</v>
      </c>
      <c r="Q1022">
        <f>--ISNUMBER(SEARCH('RC Checklist'!$G$2,A1022))</f>
        <v>0</v>
      </c>
      <c r="R1022" t="str">
        <f>IF(Q1022=1,COUNTIF($Q$2:$Q1022,1),"")</f>
        <v/>
      </c>
      <c r="S1022" t="str">
        <f>IFERROR(INDEX(ClientInfo[Full Name], MATCH(ROWS($R$2:$R1022),ClientInfo[frequency], 0)),"")</f>
        <v/>
      </c>
    </row>
    <row r="1023" spans="1:19">
      <c r="A1023" t="str">
        <f>TRIM(CONCATENATE(ClientInfo[[#This Row],[First Name]], " ",ClientInfo[[#This Row],[Last Name]]))</f>
        <v>Sherrie Ossakow</v>
      </c>
      <c r="B1023" t="s">
        <v>2184</v>
      </c>
      <c r="C1023" t="s">
        <v>2185</v>
      </c>
      <c r="F1023" s="52">
        <v>4109000712</v>
      </c>
      <c r="Q1023">
        <f>--ISNUMBER(SEARCH('RC Checklist'!$G$2,A1023))</f>
        <v>0</v>
      </c>
      <c r="R1023" t="str">
        <f>IF(Q1023=1,COUNTIF($Q$2:$Q1023,1),"")</f>
        <v/>
      </c>
      <c r="S1023" t="str">
        <f>IFERROR(INDEX(ClientInfo[Full Name], MATCH(ROWS($R$2:$R1023),ClientInfo[frequency], 0)),"")</f>
        <v/>
      </c>
    </row>
    <row r="1024" spans="1:19">
      <c r="A1024" t="str">
        <f>TRIM(CONCATENATE(ClientInfo[[#This Row],[First Name]], " ",ClientInfo[[#This Row],[Last Name]]))</f>
        <v>Sherry robert Ossakow</v>
      </c>
      <c r="B1024" t="s">
        <v>1920</v>
      </c>
      <c r="C1024" t="s">
        <v>1921</v>
      </c>
      <c r="F1024" s="52" t="s">
        <v>1922</v>
      </c>
      <c r="G1024" s="52">
        <v>4104722761</v>
      </c>
      <c r="Q1024">
        <f>--ISNUMBER(SEARCH('RC Checklist'!$G$2,A1024))</f>
        <v>0</v>
      </c>
      <c r="R1024" t="str">
        <f>IF(Q1024=1,COUNTIF($Q$2:$Q1024,1),"")</f>
        <v/>
      </c>
      <c r="S1024" t="str">
        <f>IFERROR(INDEX(ClientInfo[Full Name], MATCH(ROWS($R$2:$R1024),ClientInfo[frequency], 0)),"")</f>
        <v/>
      </c>
    </row>
    <row r="1025" spans="1:19">
      <c r="A1025" t="str">
        <f>TRIM(CONCATENATE(ClientInfo[[#This Row],[First Name]], " ",ClientInfo[[#This Row],[Last Name]]))</f>
        <v>Sherwin Williams</v>
      </c>
      <c r="B1025" t="s">
        <v>2891</v>
      </c>
      <c r="D1025" t="s">
        <v>2891</v>
      </c>
      <c r="F1025" s="52" t="s">
        <v>2892</v>
      </c>
      <c r="Q1025">
        <f>--ISNUMBER(SEARCH('RC Checklist'!$G$2,A1025))</f>
        <v>0</v>
      </c>
      <c r="R1025" t="str">
        <f>IF(Q1025=1,COUNTIF($Q$2:$Q1025,1),"")</f>
        <v/>
      </c>
      <c r="S1025" t="str">
        <f>IFERROR(INDEX(ClientInfo[Full Name], MATCH(ROWS($R$2:$R1025),ClientInfo[frequency], 0)),"")</f>
        <v/>
      </c>
    </row>
    <row r="1026" spans="1:19">
      <c r="A1026" t="str">
        <f>TRIM(CONCATENATE(ClientInfo[[#This Row],[First Name]], " ",ClientInfo[[#This Row],[Last Name]]))</f>
        <v>Shorty Craig</v>
      </c>
      <c r="B1026" t="s">
        <v>1235</v>
      </c>
      <c r="C1026" t="s">
        <v>176</v>
      </c>
      <c r="D1026" t="s">
        <v>1236</v>
      </c>
      <c r="F1026" s="52" t="s">
        <v>1237</v>
      </c>
      <c r="O1026" t="s">
        <v>1238</v>
      </c>
      <c r="Q1026">
        <f>--ISNUMBER(SEARCH('RC Checklist'!$G$2,A1026))</f>
        <v>0</v>
      </c>
      <c r="R1026" t="str">
        <f>IF(Q1026=1,COUNTIF($Q$2:$Q1026,1),"")</f>
        <v/>
      </c>
      <c r="S1026" t="str">
        <f>IFERROR(INDEX(ClientInfo[Full Name], MATCH(ROWS($R$2:$R1026),ClientInfo[frequency], 0)),"")</f>
        <v/>
      </c>
    </row>
    <row r="1027" spans="1:19">
      <c r="A1027" t="str">
        <f>TRIM(CONCATENATE(ClientInfo[[#This Row],[First Name]], " ",ClientInfo[[#This Row],[Last Name]]))</f>
        <v>Shrewsbury Cycle</v>
      </c>
      <c r="B1027" t="s">
        <v>1296</v>
      </c>
      <c r="D1027" t="s">
        <v>1296</v>
      </c>
      <c r="F1027" s="52" t="s">
        <v>1297</v>
      </c>
      <c r="Q1027">
        <f>--ISNUMBER(SEARCH('RC Checklist'!$G$2,A1027))</f>
        <v>0</v>
      </c>
      <c r="R1027" t="str">
        <f>IF(Q1027=1,COUNTIF($Q$2:$Q1027,1),"")</f>
        <v/>
      </c>
      <c r="S1027" t="str">
        <f>IFERROR(INDEX(ClientInfo[Full Name], MATCH(ROWS($R$2:$R1027),ClientInfo[frequency], 0)),"")</f>
        <v/>
      </c>
    </row>
    <row r="1028" spans="1:19">
      <c r="A1028" t="str">
        <f>TRIM(CONCATENATE(ClientInfo[[#This Row],[First Name]], " ",ClientInfo[[#This Row],[Last Name]]))</f>
        <v>Shuster Concrete</v>
      </c>
      <c r="B1028" t="s">
        <v>357</v>
      </c>
      <c r="D1028" t="s">
        <v>357</v>
      </c>
      <c r="Q1028">
        <f>--ISNUMBER(SEARCH('RC Checklist'!$G$2,A1028))</f>
        <v>0</v>
      </c>
      <c r="R1028" t="str">
        <f>IF(Q1028=1,COUNTIF($Q$2:$Q1028,1),"")</f>
        <v/>
      </c>
      <c r="S1028" t="str">
        <f>IFERROR(INDEX(ClientInfo[Full Name], MATCH(ROWS($R$2:$R1028),ClientInfo[frequency], 0)),"")</f>
        <v/>
      </c>
    </row>
    <row r="1029" spans="1:19">
      <c r="A1029" t="str">
        <f>TRIM(CONCATENATE(ClientInfo[[#This Row],[First Name]], " ",ClientInfo[[#This Row],[Last Name]]))</f>
        <v>Sidney</v>
      </c>
      <c r="B1029" t="s">
        <v>2154</v>
      </c>
      <c r="F1029" s="52">
        <v>4109618148</v>
      </c>
      <c r="G1029" s="52">
        <v>4438440225</v>
      </c>
      <c r="Q1029">
        <f>--ISNUMBER(SEARCH('RC Checklist'!$G$2,A1029))</f>
        <v>0</v>
      </c>
      <c r="R1029" t="str">
        <f>IF(Q1029=1,COUNTIF($Q$2:$Q1029,1),"")</f>
        <v/>
      </c>
      <c r="S1029" t="str">
        <f>IFERROR(INDEX(ClientInfo[Full Name], MATCH(ROWS($R$2:$R1029),ClientInfo[frequency], 0)),"")</f>
        <v/>
      </c>
    </row>
    <row r="1030" spans="1:19">
      <c r="A1030" t="str">
        <f>TRIM(CONCATENATE(ClientInfo[[#This Row],[First Name]], " ",ClientInfo[[#This Row],[Last Name]]))</f>
        <v>Sidney minor</v>
      </c>
      <c r="B1030" t="s">
        <v>2154</v>
      </c>
      <c r="C1030" t="s">
        <v>2155</v>
      </c>
      <c r="F1030" s="52" t="s">
        <v>2156</v>
      </c>
      <c r="Q1030">
        <f>--ISNUMBER(SEARCH('RC Checklist'!$G$2,A1030))</f>
        <v>0</v>
      </c>
      <c r="R1030" t="str">
        <f>IF(Q1030=1,COUNTIF($Q$2:$Q1030,1),"")</f>
        <v/>
      </c>
      <c r="S1030" t="str">
        <f>IFERROR(INDEX(ClientInfo[Full Name], MATCH(ROWS($R$2:$R1030),ClientInfo[frequency], 0)),"")</f>
        <v/>
      </c>
    </row>
    <row r="1031" spans="1:19">
      <c r="A1031" t="str">
        <f>TRIM(CONCATENATE(ClientInfo[[#This Row],[First Name]], " ",ClientInfo[[#This Row],[Last Name]]))</f>
        <v>Siera Ching</v>
      </c>
      <c r="B1031" t="s">
        <v>530</v>
      </c>
      <c r="C1031" t="s">
        <v>531</v>
      </c>
      <c r="F1031" s="52" t="s">
        <v>532</v>
      </c>
      <c r="Q1031">
        <f>--ISNUMBER(SEARCH('RC Checklist'!$G$2,A1031))</f>
        <v>0</v>
      </c>
      <c r="R1031" t="str">
        <f>IF(Q1031=1,COUNTIF($Q$2:$Q1031,1),"")</f>
        <v/>
      </c>
      <c r="S1031" t="str">
        <f>IFERROR(INDEX(ClientInfo[Full Name], MATCH(ROWS($R$2:$R1031),ClientInfo[frequency], 0)),"")</f>
        <v/>
      </c>
    </row>
    <row r="1032" spans="1:19">
      <c r="A1032" t="str">
        <f>TRIM(CONCATENATE(ClientInfo[[#This Row],[First Name]], " ",ClientInfo[[#This Row],[Last Name]]))</f>
        <v>Sillites</v>
      </c>
      <c r="B1032" t="s">
        <v>1670</v>
      </c>
      <c r="D1032" t="s">
        <v>1670</v>
      </c>
      <c r="F1032" s="52" t="s">
        <v>1671</v>
      </c>
      <c r="O1032" t="s">
        <v>1672</v>
      </c>
      <c r="Q1032">
        <f>--ISNUMBER(SEARCH('RC Checklist'!$G$2,A1032))</f>
        <v>0</v>
      </c>
      <c r="R1032" t="str">
        <f>IF(Q1032=1,COUNTIF($Q$2:$Q1032,1),"")</f>
        <v/>
      </c>
      <c r="S1032" t="str">
        <f>IFERROR(INDEX(ClientInfo[Full Name], MATCH(ROWS($R$2:$R1032),ClientInfo[frequency], 0)),"")</f>
        <v/>
      </c>
    </row>
    <row r="1033" spans="1:19">
      <c r="A1033" t="str">
        <f>TRIM(CONCATENATE(ClientInfo[[#This Row],[First Name]], " ",ClientInfo[[#This Row],[Last Name]]))</f>
        <v>Sky Zone</v>
      </c>
      <c r="B1033" t="s">
        <v>953</v>
      </c>
      <c r="D1033" t="s">
        <v>953</v>
      </c>
      <c r="F1033" s="52" t="s">
        <v>954</v>
      </c>
      <c r="Q1033">
        <f>--ISNUMBER(SEARCH('RC Checklist'!$G$2,A1033))</f>
        <v>0</v>
      </c>
      <c r="R1033" t="str">
        <f>IF(Q1033=1,COUNTIF($Q$2:$Q1033,1),"")</f>
        <v/>
      </c>
      <c r="S1033" t="str">
        <f>IFERROR(INDEX(ClientInfo[Full Name], MATCH(ROWS($R$2:$R1033),ClientInfo[frequency], 0)),"")</f>
        <v/>
      </c>
    </row>
    <row r="1034" spans="1:19">
      <c r="A1034" t="str">
        <f>TRIM(CONCATENATE(ClientInfo[[#This Row],[First Name]], " ",ClientInfo[[#This Row],[Last Name]]))</f>
        <v>Smullens Salvage And Towing</v>
      </c>
      <c r="B1034" t="s">
        <v>652</v>
      </c>
      <c r="D1034" t="s">
        <v>652</v>
      </c>
      <c r="F1034" s="52" t="s">
        <v>653</v>
      </c>
      <c r="O1034" t="s">
        <v>654</v>
      </c>
      <c r="Q1034">
        <f>--ISNUMBER(SEARCH('RC Checklist'!$G$2,A1034))</f>
        <v>0</v>
      </c>
      <c r="R1034" t="str">
        <f>IF(Q1034=1,COUNTIF($Q$2:$Q1034,1),"")</f>
        <v/>
      </c>
      <c r="S1034" t="str">
        <f>IFERROR(INDEX(ClientInfo[Full Name], MATCH(ROWS($R$2:$R1034),ClientInfo[frequency], 0)),"")</f>
        <v/>
      </c>
    </row>
    <row r="1035" spans="1:19">
      <c r="A1035" t="str">
        <f>TRIM(CONCATENATE(ClientInfo[[#This Row],[First Name]], " ",ClientInfo[[#This Row],[Last Name]]))</f>
        <v>Sonya</v>
      </c>
      <c r="B1035" t="s">
        <v>1956</v>
      </c>
      <c r="F1035" s="52" t="s">
        <v>2525</v>
      </c>
      <c r="G1035" s="52" t="s">
        <v>2526</v>
      </c>
      <c r="Q1035">
        <f>--ISNUMBER(SEARCH('RC Checklist'!$G$2,A1035))</f>
        <v>0</v>
      </c>
      <c r="R1035" t="str">
        <f>IF(Q1035=1,COUNTIF($Q$2:$Q1035,1),"")</f>
        <v/>
      </c>
      <c r="S1035" t="str">
        <f>IFERROR(INDEX(ClientInfo[Full Name], MATCH(ROWS($R$2:$R1035),ClientInfo[frequency], 0)),"")</f>
        <v/>
      </c>
    </row>
    <row r="1036" spans="1:19">
      <c r="A1036" t="str">
        <f>TRIM(CONCATENATE(ClientInfo[[#This Row],[First Name]], " ",ClientInfo[[#This Row],[Last Name]]))</f>
        <v>Sonya Wilson</v>
      </c>
      <c r="B1036" t="s">
        <v>1956</v>
      </c>
      <c r="C1036" t="s">
        <v>1275</v>
      </c>
      <c r="F1036" s="52" t="s">
        <v>1957</v>
      </c>
      <c r="O1036" t="s">
        <v>1958</v>
      </c>
      <c r="Q1036">
        <f>--ISNUMBER(SEARCH('RC Checklist'!$G$2,A1036))</f>
        <v>0</v>
      </c>
      <c r="R1036" t="str">
        <f>IF(Q1036=1,COUNTIF($Q$2:$Q1036,1),"")</f>
        <v/>
      </c>
      <c r="S1036" t="str">
        <f>IFERROR(INDEX(ClientInfo[Full Name], MATCH(ROWS($R$2:$R1036),ClientInfo[frequency], 0)),"")</f>
        <v/>
      </c>
    </row>
    <row r="1037" spans="1:19">
      <c r="A1037" t="str">
        <f>TRIM(CONCATENATE(ClientInfo[[#This Row],[First Name]], " ",ClientInfo[[#This Row],[Last Name]]))</f>
        <v>Sound Solutions</v>
      </c>
      <c r="B1037" t="s">
        <v>1469</v>
      </c>
      <c r="D1037" t="s">
        <v>254</v>
      </c>
      <c r="F1037" s="52">
        <v>4432508772</v>
      </c>
      <c r="Q1037">
        <f>--ISNUMBER(SEARCH('RC Checklist'!$G$2,A1037))</f>
        <v>0</v>
      </c>
      <c r="R1037" t="str">
        <f>IF(Q1037=1,COUNTIF($Q$2:$Q1037,1),"")</f>
        <v/>
      </c>
      <c r="S1037" t="str">
        <f>IFERROR(INDEX(ClientInfo[Full Name], MATCH(ROWS($R$2:$R1037),ClientInfo[frequency], 0)),"")</f>
        <v/>
      </c>
    </row>
    <row r="1038" spans="1:19">
      <c r="A1038" t="str">
        <f>TRIM(CONCATENATE(ClientInfo[[#This Row],[First Name]], " ",ClientInfo[[#This Row],[Last Name]]))</f>
        <v>Stacey Curtis</v>
      </c>
      <c r="B1038" t="s">
        <v>2043</v>
      </c>
      <c r="C1038" t="s">
        <v>509</v>
      </c>
      <c r="F1038" s="52" t="s">
        <v>2044</v>
      </c>
      <c r="Q1038">
        <f>--ISNUMBER(SEARCH('RC Checklist'!$G$2,A1038))</f>
        <v>0</v>
      </c>
      <c r="R1038" t="str">
        <f>IF(Q1038=1,COUNTIF($Q$2:$Q1038,1),"")</f>
        <v/>
      </c>
      <c r="S1038" t="str">
        <f>IFERROR(INDEX(ClientInfo[Full Name], MATCH(ROWS($R$2:$R1038),ClientInfo[frequency], 0)),"")</f>
        <v/>
      </c>
    </row>
    <row r="1039" spans="1:19">
      <c r="A1039" t="str">
        <f>TRIM(CONCATENATE(ClientInfo[[#This Row],[First Name]], " ",ClientInfo[[#This Row],[Last Name]]))</f>
        <v>Stephan &amp; Bridget Koch</v>
      </c>
      <c r="B1039" t="s">
        <v>1375</v>
      </c>
      <c r="C1039" t="s">
        <v>1376</v>
      </c>
      <c r="F1039" s="52" t="s">
        <v>1377</v>
      </c>
      <c r="H1039" t="s">
        <v>1378</v>
      </c>
      <c r="O1039" t="s">
        <v>1379</v>
      </c>
      <c r="Q1039">
        <f>--ISNUMBER(SEARCH('RC Checklist'!$G$2,A1039))</f>
        <v>0</v>
      </c>
      <c r="R1039" t="str">
        <f>IF(Q1039=1,COUNTIF($Q$2:$Q1039,1),"")</f>
        <v/>
      </c>
      <c r="S1039" t="str">
        <f>IFERROR(INDEX(ClientInfo[Full Name], MATCH(ROWS($R$2:$R1039),ClientInfo[frequency], 0)),"")</f>
        <v/>
      </c>
    </row>
    <row r="1040" spans="1:19">
      <c r="A1040" t="str">
        <f>TRIM(CONCATENATE(ClientInfo[[#This Row],[First Name]], " ",ClientInfo[[#This Row],[Last Name]]))</f>
        <v>stephan koch</v>
      </c>
      <c r="B1040" t="s">
        <v>2024</v>
      </c>
      <c r="C1040" t="s">
        <v>2025</v>
      </c>
      <c r="H1040" t="s">
        <v>1378</v>
      </c>
      <c r="Q1040">
        <f>--ISNUMBER(SEARCH('RC Checklist'!$G$2,A1040))</f>
        <v>0</v>
      </c>
      <c r="R1040" t="str">
        <f>IF(Q1040=1,COUNTIF($Q$2:$Q1040,1),"")</f>
        <v/>
      </c>
      <c r="S1040" t="str">
        <f>IFERROR(INDEX(ClientInfo[Full Name], MATCH(ROWS($R$2:$R1040),ClientInfo[frequency], 0)),"")</f>
        <v/>
      </c>
    </row>
    <row r="1041" spans="1:19">
      <c r="A1041" t="str">
        <f>TRIM(CONCATENATE(ClientInfo[[#This Row],[First Name]], " ",ClientInfo[[#This Row],[Last Name]]))</f>
        <v>Stephanie Bell</v>
      </c>
      <c r="B1041" t="s">
        <v>1534</v>
      </c>
      <c r="C1041" t="s">
        <v>1535</v>
      </c>
      <c r="F1041" s="52" t="s">
        <v>1536</v>
      </c>
      <c r="Q1041">
        <f>--ISNUMBER(SEARCH('RC Checklist'!$G$2,A1041))</f>
        <v>0</v>
      </c>
      <c r="R1041" t="str">
        <f>IF(Q1041=1,COUNTIF($Q$2:$Q1041,1),"")</f>
        <v/>
      </c>
      <c r="S1041" t="str">
        <f>IFERROR(INDEX(ClientInfo[Full Name], MATCH(ROWS($R$2:$R1041),ClientInfo[frequency], 0)),"")</f>
        <v/>
      </c>
    </row>
    <row r="1042" spans="1:19">
      <c r="A1042" t="str">
        <f>TRIM(CONCATENATE(ClientInfo[[#This Row],[First Name]], " ",ClientInfo[[#This Row],[Last Name]]))</f>
        <v>Stephen Parkhurst</v>
      </c>
      <c r="B1042" t="s">
        <v>1913</v>
      </c>
      <c r="C1042" t="s">
        <v>1914</v>
      </c>
      <c r="D1042" t="s">
        <v>1915</v>
      </c>
      <c r="F1042" s="52">
        <v>14437164190</v>
      </c>
      <c r="H1042" t="s">
        <v>1916</v>
      </c>
      <c r="Q1042">
        <f>--ISNUMBER(SEARCH('RC Checklist'!$G$2,A1042))</f>
        <v>0</v>
      </c>
      <c r="R1042" t="str">
        <f>IF(Q1042=1,COUNTIF($Q$2:$Q1042,1),"")</f>
        <v/>
      </c>
      <c r="S1042" t="str">
        <f>IFERROR(INDEX(ClientInfo[Full Name], MATCH(ROWS($R$2:$R1042),ClientInfo[frequency], 0)),"")</f>
        <v/>
      </c>
    </row>
    <row r="1043" spans="1:19">
      <c r="A1043" t="str">
        <f>TRIM(CONCATENATE(ClientInfo[[#This Row],[First Name]], " ",ClientInfo[[#This Row],[Last Name]]))</f>
        <v>Steve</v>
      </c>
      <c r="B1043" t="s">
        <v>251</v>
      </c>
      <c r="D1043" t="s">
        <v>847</v>
      </c>
      <c r="F1043" s="52">
        <v>4102182086</v>
      </c>
      <c r="Q1043">
        <f>--ISNUMBER(SEARCH('RC Checklist'!$G$2,A1043))</f>
        <v>0</v>
      </c>
      <c r="R1043" t="str">
        <f>IF(Q1043=1,COUNTIF($Q$2:$Q1043,1),"")</f>
        <v/>
      </c>
      <c r="S1043" t="str">
        <f>IFERROR(INDEX(ClientInfo[Full Name], MATCH(ROWS($R$2:$R1043),ClientInfo[frequency], 0)),"")</f>
        <v/>
      </c>
    </row>
    <row r="1044" spans="1:19">
      <c r="A1044" t="str">
        <f>TRIM(CONCATENATE(ClientInfo[[#This Row],[First Name]], " ",ClientInfo[[#This Row],[Last Name]]))</f>
        <v>Steve</v>
      </c>
      <c r="B1044" t="s">
        <v>251</v>
      </c>
      <c r="F1044" s="52">
        <v>2024392610</v>
      </c>
      <c r="P1044" t="s">
        <v>624</v>
      </c>
      <c r="Q1044">
        <f>--ISNUMBER(SEARCH('RC Checklist'!$G$2,A1044))</f>
        <v>0</v>
      </c>
      <c r="R1044" t="str">
        <f>IF(Q1044=1,COUNTIF($Q$2:$Q1044,1),"")</f>
        <v/>
      </c>
      <c r="S1044" t="str">
        <f>IFERROR(INDEX(ClientInfo[Full Name], MATCH(ROWS($R$2:$R1044),ClientInfo[frequency], 0)),"")</f>
        <v/>
      </c>
    </row>
    <row r="1045" spans="1:19">
      <c r="A1045" t="str">
        <f>TRIM(CONCATENATE(ClientInfo[[#This Row],[First Name]], " ",ClientInfo[[#This Row],[Last Name]]))</f>
        <v>Steve</v>
      </c>
      <c r="B1045" t="s">
        <v>251</v>
      </c>
      <c r="D1045" t="s">
        <v>911</v>
      </c>
      <c r="Q1045">
        <f>--ISNUMBER(SEARCH('RC Checklist'!$G$2,A1045))</f>
        <v>0</v>
      </c>
      <c r="R1045" t="str">
        <f>IF(Q1045=1,COUNTIF($Q$2:$Q1045,1),"")</f>
        <v/>
      </c>
      <c r="S1045" t="str">
        <f>IFERROR(INDEX(ClientInfo[Full Name], MATCH(ROWS($R$2:$R1045),ClientInfo[frequency], 0)),"")</f>
        <v/>
      </c>
    </row>
    <row r="1046" spans="1:19">
      <c r="A1046" t="str">
        <f>TRIM(CONCATENATE(ClientInfo[[#This Row],[First Name]], " ",ClientInfo[[#This Row],[Last Name]]))</f>
        <v>Steve â€œToddâ€ smith</v>
      </c>
      <c r="B1046" t="s">
        <v>1575</v>
      </c>
      <c r="C1046" t="s">
        <v>1576</v>
      </c>
      <c r="F1046" s="52">
        <v>4438311280</v>
      </c>
      <c r="H1046" t="s">
        <v>1577</v>
      </c>
      <c r="Q1046">
        <f>--ISNUMBER(SEARCH('RC Checklist'!$G$2,A1046))</f>
        <v>0</v>
      </c>
      <c r="R1046" t="str">
        <f>IF(Q1046=1,COUNTIF($Q$2:$Q1046,1),"")</f>
        <v/>
      </c>
      <c r="S1046" t="str">
        <f>IFERROR(INDEX(ClientInfo[Full Name], MATCH(ROWS($R$2:$R1046),ClientInfo[frequency], 0)),"")</f>
        <v/>
      </c>
    </row>
    <row r="1047" spans="1:19">
      <c r="A1047" t="str">
        <f>TRIM(CONCATENATE(ClientInfo[[#This Row],[First Name]], " ",ClientInfo[[#This Row],[Last Name]]))</f>
        <v>Steve Conroy</v>
      </c>
      <c r="B1047" t="s">
        <v>251</v>
      </c>
      <c r="C1047" t="s">
        <v>252</v>
      </c>
      <c r="F1047" s="52">
        <v>4103829870</v>
      </c>
      <c r="H1047" t="s">
        <v>253</v>
      </c>
      <c r="Q1047">
        <f>--ISNUMBER(SEARCH('RC Checklist'!$G$2,A1047))</f>
        <v>0</v>
      </c>
      <c r="R1047" t="str">
        <f>IF(Q1047=1,COUNTIF($Q$2:$Q1047,1),"")</f>
        <v/>
      </c>
      <c r="S1047" t="str">
        <f>IFERROR(INDEX(ClientInfo[Full Name], MATCH(ROWS($R$2:$R1047),ClientInfo[frequency], 0)),"")</f>
        <v/>
      </c>
    </row>
    <row r="1048" spans="1:19">
      <c r="A1048" t="str">
        <f>TRIM(CONCATENATE(ClientInfo[[#This Row],[First Name]], " ",ClientInfo[[#This Row],[Last Name]]))</f>
        <v>Steve Danadio</v>
      </c>
      <c r="B1048" t="s">
        <v>251</v>
      </c>
      <c r="C1048" t="s">
        <v>2495</v>
      </c>
      <c r="F1048" s="52" t="s">
        <v>2496</v>
      </c>
      <c r="Q1048">
        <f>--ISNUMBER(SEARCH('RC Checklist'!$G$2,A1048))</f>
        <v>0</v>
      </c>
      <c r="R1048" t="str">
        <f>IF(Q1048=1,COUNTIF($Q$2:$Q1048,1),"")</f>
        <v/>
      </c>
      <c r="S1048" t="str">
        <f>IFERROR(INDEX(ClientInfo[Full Name], MATCH(ROWS($R$2:$R1048),ClientInfo[frequency], 0)),"")</f>
        <v/>
      </c>
    </row>
    <row r="1049" spans="1:19">
      <c r="A1049" t="str">
        <f>TRIM(CONCATENATE(ClientInfo[[#This Row],[First Name]], " ",ClientInfo[[#This Row],[Last Name]]))</f>
        <v>Steve Dance Auctuons</v>
      </c>
      <c r="B1049" t="s">
        <v>557</v>
      </c>
      <c r="D1049" t="s">
        <v>557</v>
      </c>
      <c r="F1049" s="52">
        <v>4108233993</v>
      </c>
      <c r="Q1049">
        <f>--ISNUMBER(SEARCH('RC Checklist'!$G$2,A1049))</f>
        <v>0</v>
      </c>
      <c r="R1049" t="str">
        <f>IF(Q1049=1,COUNTIF($Q$2:$Q1049,1),"")</f>
        <v/>
      </c>
      <c r="S1049" t="str">
        <f>IFERROR(INDEX(ClientInfo[Full Name], MATCH(ROWS($R$2:$R1049),ClientInfo[frequency], 0)),"")</f>
        <v/>
      </c>
    </row>
    <row r="1050" spans="1:19">
      <c r="A1050" t="str">
        <f>TRIM(CONCATENATE(ClientInfo[[#This Row],[First Name]], " ",ClientInfo[[#This Row],[Last Name]]))</f>
        <v>Steve Dell</v>
      </c>
      <c r="B1050" t="s">
        <v>251</v>
      </c>
      <c r="C1050" t="s">
        <v>2758</v>
      </c>
      <c r="D1050" t="s">
        <v>2759</v>
      </c>
      <c r="F1050" s="52">
        <v>4438658072</v>
      </c>
      <c r="G1050" s="52" t="s">
        <v>2760</v>
      </c>
      <c r="H1050" t="s">
        <v>2761</v>
      </c>
      <c r="O1050" t="s">
        <v>2762</v>
      </c>
      <c r="Q1050">
        <f>--ISNUMBER(SEARCH('RC Checklist'!$G$2,A1050))</f>
        <v>0</v>
      </c>
      <c r="R1050" t="str">
        <f>IF(Q1050=1,COUNTIF($Q$2:$Q1050,1),"")</f>
        <v/>
      </c>
      <c r="S1050" t="str">
        <f>IFERROR(INDEX(ClientInfo[Full Name], MATCH(ROWS($R$2:$R1050),ClientInfo[frequency], 0)),"")</f>
        <v/>
      </c>
    </row>
    <row r="1051" spans="1:19">
      <c r="A1051" t="str">
        <f>TRIM(CONCATENATE(ClientInfo[[#This Row],[First Name]], " ",ClientInfo[[#This Row],[Last Name]]))</f>
        <v>Steve Forbes</v>
      </c>
      <c r="B1051" t="s">
        <v>251</v>
      </c>
      <c r="C1051" t="s">
        <v>1073</v>
      </c>
      <c r="D1051" t="s">
        <v>1968</v>
      </c>
      <c r="F1051" s="52" t="s">
        <v>1969</v>
      </c>
      <c r="Q1051">
        <f>--ISNUMBER(SEARCH('RC Checklist'!$G$2,A1051))</f>
        <v>0</v>
      </c>
      <c r="R1051" t="str">
        <f>IF(Q1051=1,COUNTIF($Q$2:$Q1051,1),"")</f>
        <v/>
      </c>
      <c r="S1051" t="str">
        <f>IFERROR(INDEX(ClientInfo[Full Name], MATCH(ROWS($R$2:$R1051),ClientInfo[frequency], 0)),"")</f>
        <v/>
      </c>
    </row>
    <row r="1052" spans="1:19">
      <c r="A1052" t="str">
        <f>TRIM(CONCATENATE(ClientInfo[[#This Row],[First Name]], " ",ClientInfo[[#This Row],[Last Name]]))</f>
        <v>Steve Forostiak</v>
      </c>
      <c r="B1052" t="s">
        <v>251</v>
      </c>
      <c r="C1052" t="s">
        <v>1251</v>
      </c>
      <c r="F1052" s="52" t="s">
        <v>1252</v>
      </c>
      <c r="Q1052">
        <f>--ISNUMBER(SEARCH('RC Checklist'!$G$2,A1052))</f>
        <v>0</v>
      </c>
      <c r="R1052" t="str">
        <f>IF(Q1052=1,COUNTIF($Q$2:$Q1052,1),"")</f>
        <v/>
      </c>
      <c r="S1052" t="str">
        <f>IFERROR(INDEX(ClientInfo[Full Name], MATCH(ROWS($R$2:$R1052),ClientInfo[frequency], 0)),"")</f>
        <v/>
      </c>
    </row>
    <row r="1053" spans="1:19">
      <c r="A1053" t="str">
        <f>TRIM(CONCATENATE(ClientInfo[[#This Row],[First Name]], " ",ClientInfo[[#This Row],[Last Name]]))</f>
        <v>Steve Fox</v>
      </c>
      <c r="B1053" t="s">
        <v>251</v>
      </c>
      <c r="C1053" t="s">
        <v>1090</v>
      </c>
      <c r="F1053" s="52" t="s">
        <v>2352</v>
      </c>
      <c r="P1053" t="s">
        <v>2353</v>
      </c>
      <c r="Q1053">
        <f>--ISNUMBER(SEARCH('RC Checklist'!$G$2,A1053))</f>
        <v>0</v>
      </c>
      <c r="R1053" t="str">
        <f>IF(Q1053=1,COUNTIF($Q$2:$Q1053,1),"")</f>
        <v/>
      </c>
      <c r="S1053" t="str">
        <f>IFERROR(INDEX(ClientInfo[Full Name], MATCH(ROWS($R$2:$R1053),ClientInfo[frequency], 0)),"")</f>
        <v/>
      </c>
    </row>
    <row r="1054" spans="1:19">
      <c r="A1054" t="str">
        <f>TRIM(CONCATENATE(ClientInfo[[#This Row],[First Name]], " ",ClientInfo[[#This Row],[Last Name]]))</f>
        <v>Steve Horton</v>
      </c>
      <c r="B1054" t="s">
        <v>251</v>
      </c>
      <c r="C1054" t="s">
        <v>2530</v>
      </c>
      <c r="D1054" t="s">
        <v>2531</v>
      </c>
      <c r="F1054" s="52" t="s">
        <v>2532</v>
      </c>
      <c r="H1054" t="s">
        <v>2533</v>
      </c>
      <c r="Q1054">
        <f>--ISNUMBER(SEARCH('RC Checklist'!$G$2,A1054))</f>
        <v>0</v>
      </c>
      <c r="R1054" t="str">
        <f>IF(Q1054=1,COUNTIF($Q$2:$Q1054,1),"")</f>
        <v/>
      </c>
      <c r="S1054" t="str">
        <f>IFERROR(INDEX(ClientInfo[Full Name], MATCH(ROWS($R$2:$R1054),ClientInfo[frequency], 0)),"")</f>
        <v/>
      </c>
    </row>
    <row r="1055" spans="1:19">
      <c r="A1055" t="str">
        <f>TRIM(CONCATENATE(ClientInfo[[#This Row],[First Name]], " ",ClientInfo[[#This Row],[Last Name]]))</f>
        <v>Steve Jacobson</v>
      </c>
      <c r="B1055" t="s">
        <v>251</v>
      </c>
      <c r="C1055" t="s">
        <v>548</v>
      </c>
      <c r="F1055" s="52">
        <v>4437563941</v>
      </c>
      <c r="Q1055">
        <f>--ISNUMBER(SEARCH('RC Checklist'!$G$2,A1055))</f>
        <v>0</v>
      </c>
      <c r="R1055" t="str">
        <f>IF(Q1055=1,COUNTIF($Q$2:$Q1055,1),"")</f>
        <v/>
      </c>
      <c r="S1055" t="str">
        <f>IFERROR(INDEX(ClientInfo[Full Name], MATCH(ROWS($R$2:$R1055),ClientInfo[frequency], 0)),"")</f>
        <v/>
      </c>
    </row>
    <row r="1056" spans="1:19">
      <c r="A1056" t="str">
        <f>TRIM(CONCATENATE(ClientInfo[[#This Row],[First Name]], " ",ClientInfo[[#This Row],[Last Name]]))</f>
        <v>Steve Mitchell</v>
      </c>
      <c r="B1056" t="s">
        <v>251</v>
      </c>
      <c r="C1056" t="s">
        <v>1502</v>
      </c>
      <c r="F1056" s="52" t="s">
        <v>1503</v>
      </c>
      <c r="G1056" s="52" t="s">
        <v>1504</v>
      </c>
      <c r="H1056" t="s">
        <v>1505</v>
      </c>
      <c r="Q1056">
        <f>--ISNUMBER(SEARCH('RC Checklist'!$G$2,A1056))</f>
        <v>0</v>
      </c>
      <c r="R1056" t="str">
        <f>IF(Q1056=1,COUNTIF($Q$2:$Q1056,1),"")</f>
        <v/>
      </c>
      <c r="S1056" t="str">
        <f>IFERROR(INDEX(ClientInfo[Full Name], MATCH(ROWS($R$2:$R1056),ClientInfo[frequency], 0)),"")</f>
        <v/>
      </c>
    </row>
    <row r="1057" spans="1:19">
      <c r="A1057" t="str">
        <f>TRIM(CONCATENATE(ClientInfo[[#This Row],[First Name]], " ",ClientInfo[[#This Row],[Last Name]]))</f>
        <v>Steve Nawrocki</v>
      </c>
      <c r="B1057" t="s">
        <v>251</v>
      </c>
      <c r="C1057" t="s">
        <v>1129</v>
      </c>
      <c r="F1057" s="52" t="s">
        <v>1571</v>
      </c>
      <c r="H1057" t="s">
        <v>1572</v>
      </c>
      <c r="Q1057">
        <f>--ISNUMBER(SEARCH('RC Checklist'!$G$2,A1057))</f>
        <v>0</v>
      </c>
      <c r="R1057" t="str">
        <f>IF(Q1057=1,COUNTIF($Q$2:$Q1057,1),"")</f>
        <v/>
      </c>
      <c r="S1057" t="str">
        <f>IFERROR(INDEX(ClientInfo[Full Name], MATCH(ROWS($R$2:$R1057),ClientInfo[frequency], 0)),"")</f>
        <v/>
      </c>
    </row>
    <row r="1058" spans="1:19">
      <c r="A1058" t="str">
        <f>TRIM(CONCATENATE(ClientInfo[[#This Row],[First Name]], " ",ClientInfo[[#This Row],[Last Name]]))</f>
        <v>Steve Parkhurst</v>
      </c>
      <c r="B1058" t="s">
        <v>251</v>
      </c>
      <c r="C1058" t="s">
        <v>1914</v>
      </c>
      <c r="F1058" s="52" t="s">
        <v>2470</v>
      </c>
      <c r="H1058" t="s">
        <v>1916</v>
      </c>
      <c r="Q1058">
        <f>--ISNUMBER(SEARCH('RC Checklist'!$G$2,A1058))</f>
        <v>0</v>
      </c>
      <c r="R1058" t="str">
        <f>IF(Q1058=1,COUNTIF($Q$2:$Q1058,1),"")</f>
        <v/>
      </c>
      <c r="S1058" t="str">
        <f>IFERROR(INDEX(ClientInfo[Full Name], MATCH(ROWS($R$2:$R1058),ClientInfo[frequency], 0)),"")</f>
        <v/>
      </c>
    </row>
    <row r="1059" spans="1:19">
      <c r="A1059" t="str">
        <f>TRIM(CONCATENATE(ClientInfo[[#This Row],[First Name]], " ",ClientInfo[[#This Row],[Last Name]]))</f>
        <v>Steve Price</v>
      </c>
      <c r="B1059" t="s">
        <v>2802</v>
      </c>
      <c r="C1059" t="s">
        <v>2803</v>
      </c>
      <c r="F1059" s="52" t="s">
        <v>2804</v>
      </c>
      <c r="Q1059">
        <f>--ISNUMBER(SEARCH('RC Checklist'!$G$2,A1059))</f>
        <v>0</v>
      </c>
      <c r="R1059" t="str">
        <f>IF(Q1059=1,COUNTIF($Q$2:$Q1059,1),"")</f>
        <v/>
      </c>
      <c r="S1059" t="str">
        <f>IFERROR(INDEX(ClientInfo[Full Name], MATCH(ROWS($R$2:$R1059),ClientInfo[frequency], 0)),"")</f>
        <v/>
      </c>
    </row>
    <row r="1060" spans="1:19">
      <c r="A1060" t="str">
        <f>TRIM(CONCATENATE(ClientInfo[[#This Row],[First Name]], " ",ClientInfo[[#This Row],[Last Name]]))</f>
        <v>Steve Sealing</v>
      </c>
      <c r="B1060" t="s">
        <v>251</v>
      </c>
      <c r="C1060" t="s">
        <v>2035</v>
      </c>
      <c r="D1060" t="s">
        <v>1745</v>
      </c>
      <c r="F1060" s="52" t="s">
        <v>2036</v>
      </c>
      <c r="Q1060">
        <f>--ISNUMBER(SEARCH('RC Checklist'!$G$2,A1060))</f>
        <v>0</v>
      </c>
      <c r="R1060" t="str">
        <f>IF(Q1060=1,COUNTIF($Q$2:$Q1060,1),"")</f>
        <v/>
      </c>
      <c r="S1060" t="str">
        <f>IFERROR(INDEX(ClientInfo[Full Name], MATCH(ROWS($R$2:$R1060),ClientInfo[frequency], 0)),"")</f>
        <v/>
      </c>
    </row>
    <row r="1061" spans="1:19">
      <c r="A1061" t="str">
        <f>TRIM(CONCATENATE(ClientInfo[[#This Row],[First Name]], " ",ClientInfo[[#This Row],[Last Name]]))</f>
        <v>Steve Shwartz</v>
      </c>
      <c r="B1061" t="s">
        <v>251</v>
      </c>
      <c r="C1061" t="s">
        <v>1996</v>
      </c>
      <c r="F1061" s="52" t="s">
        <v>1997</v>
      </c>
      <c r="Q1061">
        <f>--ISNUMBER(SEARCH('RC Checklist'!$G$2,A1061))</f>
        <v>0</v>
      </c>
      <c r="R1061" t="str">
        <f>IF(Q1061=1,COUNTIF($Q$2:$Q1061,1),"")</f>
        <v/>
      </c>
      <c r="S1061" t="str">
        <f>IFERROR(INDEX(ClientInfo[Full Name], MATCH(ROWS($R$2:$R1061),ClientInfo[frequency], 0)),"")</f>
        <v/>
      </c>
    </row>
    <row r="1062" spans="1:19">
      <c r="A1062" t="str">
        <f>TRIM(CONCATENATE(ClientInfo[[#This Row],[First Name]], " ",ClientInfo[[#This Row],[Last Name]]))</f>
        <v>Steve Smith</v>
      </c>
      <c r="B1062" t="s">
        <v>251</v>
      </c>
      <c r="C1062" t="s">
        <v>34</v>
      </c>
      <c r="F1062" s="52">
        <v>4105227755</v>
      </c>
      <c r="Q1062">
        <f>--ISNUMBER(SEARCH('RC Checklist'!$G$2,A1062))</f>
        <v>0</v>
      </c>
      <c r="R1062" t="str">
        <f>IF(Q1062=1,COUNTIF($Q$2:$Q1062,1),"")</f>
        <v/>
      </c>
      <c r="S1062" t="str">
        <f>IFERROR(INDEX(ClientInfo[Full Name], MATCH(ROWS($R$2:$R1062),ClientInfo[frequency], 0)),"")</f>
        <v/>
      </c>
    </row>
    <row r="1063" spans="1:19">
      <c r="A1063" t="str">
        <f>TRIM(CONCATENATE(ClientInfo[[#This Row],[First Name]], " ",ClientInfo[[#This Row],[Last Name]]))</f>
        <v>Steve Weber</v>
      </c>
      <c r="B1063" t="s">
        <v>251</v>
      </c>
      <c r="C1063" t="s">
        <v>2367</v>
      </c>
      <c r="F1063" s="52">
        <v>4104036462</v>
      </c>
      <c r="G1063" s="52">
        <v>4105270060</v>
      </c>
      <c r="H1063" t="s">
        <v>2368</v>
      </c>
      <c r="O1063" t="s">
        <v>2369</v>
      </c>
      <c r="Q1063">
        <f>--ISNUMBER(SEARCH('RC Checklist'!$G$2,A1063))</f>
        <v>0</v>
      </c>
      <c r="R1063" t="str">
        <f>IF(Q1063=1,COUNTIF($Q$2:$Q1063,1),"")</f>
        <v/>
      </c>
      <c r="S1063" t="str">
        <f>IFERROR(INDEX(ClientInfo[Full Name], MATCH(ROWS($R$2:$R1063),ClientInfo[frequency], 0)),"")</f>
        <v/>
      </c>
    </row>
    <row r="1064" spans="1:19">
      <c r="A1064" t="str">
        <f>TRIM(CONCATENATE(ClientInfo[[#This Row],[First Name]], " ",ClientInfo[[#This Row],[Last Name]]))</f>
        <v>Steve Wiles</v>
      </c>
      <c r="B1064" t="s">
        <v>251</v>
      </c>
      <c r="C1064" t="s">
        <v>1578</v>
      </c>
      <c r="F1064" s="52" t="s">
        <v>1579</v>
      </c>
      <c r="Q1064">
        <f>--ISNUMBER(SEARCH('RC Checklist'!$G$2,A1064))</f>
        <v>0</v>
      </c>
      <c r="R1064" t="str">
        <f>IF(Q1064=1,COUNTIF($Q$2:$Q1064,1),"")</f>
        <v/>
      </c>
      <c r="S1064" t="str">
        <f>IFERROR(INDEX(ClientInfo[Full Name], MATCH(ROWS($R$2:$R1064),ClientInfo[frequency], 0)),"")</f>
        <v/>
      </c>
    </row>
    <row r="1065" spans="1:19">
      <c r="A1065" t="str">
        <f>TRIM(CONCATENATE(ClientInfo[[#This Row],[First Name]], " ",ClientInfo[[#This Row],[Last Name]]))</f>
        <v>Steven Hayes</v>
      </c>
      <c r="B1065" t="s">
        <v>1828</v>
      </c>
      <c r="C1065" t="s">
        <v>1829</v>
      </c>
      <c r="D1065" t="s">
        <v>1428</v>
      </c>
      <c r="F1065" s="52">
        <v>4435259605</v>
      </c>
      <c r="H1065" t="s">
        <v>1830</v>
      </c>
      <c r="O1065" t="s">
        <v>1831</v>
      </c>
      <c r="Q1065">
        <f>--ISNUMBER(SEARCH('RC Checklist'!$G$2,A1065))</f>
        <v>0</v>
      </c>
      <c r="R1065" t="str">
        <f>IF(Q1065=1,COUNTIF($Q$2:$Q1065,1),"")</f>
        <v/>
      </c>
      <c r="S1065" t="str">
        <f>IFERROR(INDEX(ClientInfo[Full Name], MATCH(ROWS($R$2:$R1065),ClientInfo[frequency], 0)),"")</f>
        <v/>
      </c>
    </row>
    <row r="1066" spans="1:19">
      <c r="A1066" t="str">
        <f>TRIM(CONCATENATE(ClientInfo[[#This Row],[First Name]], " ",ClientInfo[[#This Row],[Last Name]]))</f>
        <v>Steves Garage</v>
      </c>
      <c r="B1066" t="s">
        <v>2655</v>
      </c>
      <c r="C1066" t="s">
        <v>2656</v>
      </c>
      <c r="F1066" s="52">
        <v>4106612874</v>
      </c>
      <c r="Q1066">
        <f>--ISNUMBER(SEARCH('RC Checklist'!$G$2,A1066))</f>
        <v>0</v>
      </c>
      <c r="R1066" t="str">
        <f>IF(Q1066=1,COUNTIF($Q$2:$Q1066,1),"")</f>
        <v/>
      </c>
      <c r="S1066" t="str">
        <f>IFERROR(INDEX(ClientInfo[Full Name], MATCH(ROWS($R$2:$R1066),ClientInfo[frequency], 0)),"")</f>
        <v/>
      </c>
    </row>
    <row r="1067" spans="1:19">
      <c r="A1067" t="str">
        <f>TRIM(CONCATENATE(ClientInfo[[#This Row],[First Name]], " ",ClientInfo[[#This Row],[Last Name]]))</f>
        <v>Stock Interiors</v>
      </c>
      <c r="B1067" t="s">
        <v>353</v>
      </c>
      <c r="D1067" t="s">
        <v>353</v>
      </c>
      <c r="Q1067">
        <f>--ISNUMBER(SEARCH('RC Checklist'!$G$2,A1067))</f>
        <v>0</v>
      </c>
      <c r="R1067" t="str">
        <f>IF(Q1067=1,COUNTIF($Q$2:$Q1067,1),"")</f>
        <v/>
      </c>
      <c r="S1067" t="str">
        <f>IFERROR(INDEX(ClientInfo[Full Name], MATCH(ROWS($R$2:$R1067),ClientInfo[frequency], 0)),"")</f>
        <v/>
      </c>
    </row>
    <row r="1068" spans="1:19">
      <c r="A1068" t="str">
        <f>TRIM(CONCATENATE(ClientInfo[[#This Row],[First Name]], " ",ClientInfo[[#This Row],[Last Name]]))</f>
        <v>Stoney River Legendary Steaks</v>
      </c>
      <c r="B1068" t="s">
        <v>1619</v>
      </c>
      <c r="D1068" t="s">
        <v>1619</v>
      </c>
      <c r="F1068" s="52">
        <v>4105835250</v>
      </c>
      <c r="Q1068">
        <f>--ISNUMBER(SEARCH('RC Checklist'!$G$2,A1068))</f>
        <v>0</v>
      </c>
      <c r="R1068" t="str">
        <f>IF(Q1068=1,COUNTIF($Q$2:$Q1068,1),"")</f>
        <v/>
      </c>
      <c r="S1068" t="str">
        <f>IFERROR(INDEX(ClientInfo[Full Name], MATCH(ROWS($R$2:$R1068),ClientInfo[frequency], 0)),"")</f>
        <v/>
      </c>
    </row>
    <row r="1069" spans="1:19">
      <c r="A1069" t="str">
        <f>TRIM(CONCATENATE(ClientInfo[[#This Row],[First Name]], " ",ClientInfo[[#This Row],[Last Name]]))</f>
        <v>Strapasta</v>
      </c>
      <c r="B1069" t="s">
        <v>1063</v>
      </c>
      <c r="D1069" t="s">
        <v>1063</v>
      </c>
      <c r="F1069" s="52" t="s">
        <v>1064</v>
      </c>
      <c r="Q1069">
        <f>--ISNUMBER(SEARCH('RC Checklist'!$G$2,A1069))</f>
        <v>0</v>
      </c>
      <c r="R1069" t="str">
        <f>IF(Q1069=1,COUNTIF($Q$2:$Q1069,1),"")</f>
        <v/>
      </c>
      <c r="S1069" t="str">
        <f>IFERROR(INDEX(ClientInfo[Full Name], MATCH(ROWS($R$2:$R1069),ClientInfo[frequency], 0)),"")</f>
        <v/>
      </c>
    </row>
    <row r="1070" spans="1:19">
      <c r="A1070" t="str">
        <f>TRIM(CONCATENATE(ClientInfo[[#This Row],[First Name]], " ",ClientInfo[[#This Row],[Last Name]]))</f>
        <v>Stuart</v>
      </c>
      <c r="B1070" t="s">
        <v>2880</v>
      </c>
      <c r="D1070" t="s">
        <v>2881</v>
      </c>
      <c r="F1070" s="52" t="s">
        <v>2882</v>
      </c>
      <c r="Q1070">
        <f>--ISNUMBER(SEARCH('RC Checklist'!$G$2,A1070))</f>
        <v>0</v>
      </c>
      <c r="R1070" t="str">
        <f>IF(Q1070=1,COUNTIF($Q$2:$Q1070,1),"")</f>
        <v/>
      </c>
      <c r="S1070" t="str">
        <f>IFERROR(INDEX(ClientInfo[Full Name], MATCH(ROWS($R$2:$R1070),ClientInfo[frequency], 0)),"")</f>
        <v/>
      </c>
    </row>
    <row r="1071" spans="1:19">
      <c r="A1071" t="str">
        <f>TRIM(CONCATENATE(ClientInfo[[#This Row],[First Name]], " ",ClientInfo[[#This Row],[Last Name]]))</f>
        <v>Stuart &amp; Aija Rabinowitz</v>
      </c>
      <c r="B1071" t="s">
        <v>429</v>
      </c>
      <c r="C1071" t="s">
        <v>430</v>
      </c>
      <c r="F1071" s="52">
        <v>4103717443</v>
      </c>
      <c r="G1071" s="52" t="s">
        <v>431</v>
      </c>
      <c r="H1071" t="s">
        <v>432</v>
      </c>
      <c r="O1071" t="s">
        <v>433</v>
      </c>
      <c r="Q1071">
        <f>--ISNUMBER(SEARCH('RC Checklist'!$G$2,A1071))</f>
        <v>0</v>
      </c>
      <c r="R1071" t="str">
        <f>IF(Q1071=1,COUNTIF($Q$2:$Q1071,1),"")</f>
        <v/>
      </c>
      <c r="S1071" t="str">
        <f>IFERROR(INDEX(ClientInfo[Full Name], MATCH(ROWS($R$2:$R1071),ClientInfo[frequency], 0)),"")</f>
        <v/>
      </c>
    </row>
    <row r="1072" spans="1:19">
      <c r="A1072" t="str">
        <f>TRIM(CONCATENATE(ClientInfo[[#This Row],[First Name]], " ",ClientInfo[[#This Row],[Last Name]]))</f>
        <v>Sue &amp; chuck Kump</v>
      </c>
      <c r="B1072" t="s">
        <v>1896</v>
      </c>
      <c r="C1072" t="s">
        <v>1897</v>
      </c>
      <c r="F1072" s="52">
        <v>4104566477</v>
      </c>
      <c r="H1072" t="s">
        <v>1898</v>
      </c>
      <c r="O1072" t="s">
        <v>1899</v>
      </c>
      <c r="P1072">
        <v>6495</v>
      </c>
      <c r="Q1072">
        <f>--ISNUMBER(SEARCH('RC Checklist'!$G$2,A1072))</f>
        <v>0</v>
      </c>
      <c r="R1072" t="str">
        <f>IF(Q1072=1,COUNTIF($Q$2:$Q1072,1),"")</f>
        <v/>
      </c>
      <c r="S1072" t="str">
        <f>IFERROR(INDEX(ClientInfo[Full Name], MATCH(ROWS($R$2:$R1072),ClientInfo[frequency], 0)),"")</f>
        <v/>
      </c>
    </row>
    <row r="1073" spans="1:19">
      <c r="A1073" t="str">
        <f>TRIM(CONCATENATE(ClientInfo[[#This Row],[First Name]], " ",ClientInfo[[#This Row],[Last Name]]))</f>
        <v>Sue Beyrodt</v>
      </c>
      <c r="B1073" t="s">
        <v>629</v>
      </c>
      <c r="C1073" t="s">
        <v>2712</v>
      </c>
      <c r="F1073" s="52" t="s">
        <v>2713</v>
      </c>
      <c r="G1073" s="52" t="s">
        <v>2714</v>
      </c>
      <c r="Q1073">
        <f>--ISNUMBER(SEARCH('RC Checklist'!$G$2,A1073))</f>
        <v>0</v>
      </c>
      <c r="R1073" t="str">
        <f>IF(Q1073=1,COUNTIF($Q$2:$Q1073,1),"")</f>
        <v/>
      </c>
      <c r="S1073" t="str">
        <f>IFERROR(INDEX(ClientInfo[Full Name], MATCH(ROWS($R$2:$R1073),ClientInfo[frequency], 0)),"")</f>
        <v/>
      </c>
    </row>
    <row r="1074" spans="1:19">
      <c r="A1074" t="str">
        <f>TRIM(CONCATENATE(ClientInfo[[#This Row],[First Name]], " ",ClientInfo[[#This Row],[Last Name]]))</f>
        <v>Sue Gordan</v>
      </c>
      <c r="B1074" t="s">
        <v>629</v>
      </c>
      <c r="C1074" t="s">
        <v>630</v>
      </c>
      <c r="D1074" t="s">
        <v>631</v>
      </c>
      <c r="F1074" s="52">
        <v>14433224689</v>
      </c>
      <c r="G1074" s="52" t="s">
        <v>632</v>
      </c>
      <c r="Q1074">
        <f>--ISNUMBER(SEARCH('RC Checklist'!$G$2,A1074))</f>
        <v>0</v>
      </c>
      <c r="R1074" t="str">
        <f>IF(Q1074=1,COUNTIF($Q$2:$Q1074,1),"")</f>
        <v/>
      </c>
      <c r="S1074" t="str">
        <f>IFERROR(INDEX(ClientInfo[Full Name], MATCH(ROWS($R$2:$R1074),ClientInfo[frequency], 0)),"")</f>
        <v/>
      </c>
    </row>
    <row r="1075" spans="1:19">
      <c r="A1075" t="str">
        <f>TRIM(CONCATENATE(ClientInfo[[#This Row],[First Name]], " ",ClientInfo[[#This Row],[Last Name]]))</f>
        <v>Sue Nonemaker</v>
      </c>
      <c r="B1075" t="s">
        <v>629</v>
      </c>
      <c r="C1075" t="s">
        <v>1666</v>
      </c>
      <c r="F1075" s="52" t="s">
        <v>1667</v>
      </c>
      <c r="Q1075">
        <f>--ISNUMBER(SEARCH('RC Checklist'!$G$2,A1075))</f>
        <v>0</v>
      </c>
      <c r="R1075" t="str">
        <f>IF(Q1075=1,COUNTIF($Q$2:$Q1075,1),"")</f>
        <v/>
      </c>
      <c r="S1075" t="str">
        <f>IFERROR(INDEX(ClientInfo[Full Name], MATCH(ROWS($R$2:$R1075),ClientInfo[frequency], 0)),"")</f>
        <v/>
      </c>
    </row>
    <row r="1076" spans="1:19">
      <c r="A1076" t="str">
        <f>TRIM(CONCATENATE(ClientInfo[[#This Row],[First Name]], " ",ClientInfo[[#This Row],[Last Name]]))</f>
        <v>Suk</v>
      </c>
      <c r="B1076" t="s">
        <v>1770</v>
      </c>
      <c r="D1076" t="s">
        <v>1771</v>
      </c>
      <c r="F1076" s="52">
        <v>14438458782</v>
      </c>
      <c r="H1076" t="s">
        <v>1772</v>
      </c>
      <c r="O1076" t="s">
        <v>1773</v>
      </c>
      <c r="Q1076">
        <f>--ISNUMBER(SEARCH('RC Checklist'!$G$2,A1076))</f>
        <v>0</v>
      </c>
      <c r="R1076" t="str">
        <f>IF(Q1076=1,COUNTIF($Q$2:$Q1076,1),"")</f>
        <v/>
      </c>
      <c r="S1076" t="str">
        <f>IFERROR(INDEX(ClientInfo[Full Name], MATCH(ROWS($R$2:$R1076),ClientInfo[frequency], 0)),"")</f>
        <v/>
      </c>
    </row>
    <row r="1077" spans="1:19">
      <c r="A1077" t="str">
        <f>TRIM(CONCATENATE(ClientInfo[[#This Row],[First Name]], " ",ClientInfo[[#This Row],[Last Name]]))</f>
        <v>Sunbelt Rental</v>
      </c>
      <c r="B1077" t="s">
        <v>313</v>
      </c>
      <c r="D1077" t="s">
        <v>313</v>
      </c>
      <c r="Q1077">
        <f>--ISNUMBER(SEARCH('RC Checklist'!$G$2,A1077))</f>
        <v>0</v>
      </c>
      <c r="R1077" t="str">
        <f>IF(Q1077=1,COUNTIF($Q$2:$Q1077,1),"")</f>
        <v/>
      </c>
      <c r="S1077" t="str">
        <f>IFERROR(INDEX(ClientInfo[Full Name], MATCH(ROWS($R$2:$R1077),ClientInfo[frequency], 0)),"")</f>
        <v/>
      </c>
    </row>
    <row r="1078" spans="1:19">
      <c r="A1078" t="str">
        <f>TRIM(CONCATENATE(ClientInfo[[#This Row],[First Name]], " ",ClientInfo[[#This Row],[Last Name]]))</f>
        <v>Supepiop Walls</v>
      </c>
      <c r="B1078" t="s">
        <v>210</v>
      </c>
      <c r="C1078" t="s">
        <v>211</v>
      </c>
      <c r="F1078" s="52">
        <v>7172865304</v>
      </c>
      <c r="G1078" s="52">
        <v>8003528196</v>
      </c>
      <c r="H1078" t="s">
        <v>212</v>
      </c>
      <c r="O1078" t="s">
        <v>2964</v>
      </c>
      <c r="Q1078">
        <f>--ISNUMBER(SEARCH('RC Checklist'!$G$2,A1078))</f>
        <v>0</v>
      </c>
      <c r="R1078" t="str">
        <f>IF(Q1078=1,COUNTIF($Q$2:$Q1078,1),"")</f>
        <v/>
      </c>
      <c r="S1078" t="str">
        <f>IFERROR(INDEX(ClientInfo[Full Name], MATCH(ROWS($R$2:$R1078),ClientInfo[frequency], 0)),"")</f>
        <v/>
      </c>
    </row>
    <row r="1079" spans="1:19">
      <c r="A1079" t="str">
        <f>TRIM(CONCATENATE(ClientInfo[[#This Row],[First Name]], " ",ClientInfo[[#This Row],[Last Name]]))</f>
        <v>Susan</v>
      </c>
      <c r="B1079" t="s">
        <v>873</v>
      </c>
      <c r="F1079" s="52" t="s">
        <v>2433</v>
      </c>
      <c r="Q1079">
        <f>--ISNUMBER(SEARCH('RC Checklist'!$G$2,A1079))</f>
        <v>0</v>
      </c>
      <c r="R1079" t="str">
        <f>IF(Q1079=1,COUNTIF($Q$2:$Q1079,1),"")</f>
        <v/>
      </c>
      <c r="S1079" t="str">
        <f>IFERROR(INDEX(ClientInfo[Full Name], MATCH(ROWS($R$2:$R1079),ClientInfo[frequency], 0)),"")</f>
        <v/>
      </c>
    </row>
    <row r="1080" spans="1:19">
      <c r="A1080" t="str">
        <f>TRIM(CONCATENATE(ClientInfo[[#This Row],[First Name]], " ",ClientInfo[[#This Row],[Last Name]]))</f>
        <v>Susan &amp; Glenn Lobas</v>
      </c>
      <c r="B1080" t="s">
        <v>2124</v>
      </c>
      <c r="C1080" t="s">
        <v>2125</v>
      </c>
      <c r="F1080" s="52" t="s">
        <v>2126</v>
      </c>
      <c r="H1080" t="s">
        <v>2127</v>
      </c>
      <c r="O1080" t="s">
        <v>2128</v>
      </c>
      <c r="Q1080">
        <f>--ISNUMBER(SEARCH('RC Checklist'!$G$2,A1080))</f>
        <v>0</v>
      </c>
      <c r="R1080" t="str">
        <f>IF(Q1080=1,COUNTIF($Q$2:$Q1080,1),"")</f>
        <v/>
      </c>
      <c r="S1080" t="str">
        <f>IFERROR(INDEX(ClientInfo[Full Name], MATCH(ROWS($R$2:$R1080),ClientInfo[frequency], 0)),"")</f>
        <v/>
      </c>
    </row>
    <row r="1081" spans="1:19">
      <c r="A1081" t="str">
        <f>TRIM(CONCATENATE(ClientInfo[[#This Row],[First Name]], " ",ClientInfo[[#This Row],[Last Name]]))</f>
        <v>Susan Liu</v>
      </c>
      <c r="B1081" t="s">
        <v>873</v>
      </c>
      <c r="C1081" t="s">
        <v>977</v>
      </c>
      <c r="F1081" s="52" t="s">
        <v>978</v>
      </c>
      <c r="H1081" t="s">
        <v>979</v>
      </c>
      <c r="Q1081">
        <f>--ISNUMBER(SEARCH('RC Checklist'!$G$2,A1081))</f>
        <v>0</v>
      </c>
      <c r="R1081" t="str">
        <f>IF(Q1081=1,COUNTIF($Q$2:$Q1081,1),"")</f>
        <v/>
      </c>
      <c r="S1081" t="str">
        <f>IFERROR(INDEX(ClientInfo[Full Name], MATCH(ROWS($R$2:$R1081),ClientInfo[frequency], 0)),"")</f>
        <v/>
      </c>
    </row>
    <row r="1082" spans="1:19">
      <c r="A1082" t="str">
        <f>TRIM(CONCATENATE(ClientInfo[[#This Row],[First Name]], " ",ClientInfo[[#This Row],[Last Name]]))</f>
        <v>susan lobas</v>
      </c>
      <c r="B1082" t="s">
        <v>2319</v>
      </c>
      <c r="C1082" t="s">
        <v>2320</v>
      </c>
      <c r="H1082" t="s">
        <v>2321</v>
      </c>
      <c r="Q1082">
        <f>--ISNUMBER(SEARCH('RC Checklist'!$G$2,A1082))</f>
        <v>0</v>
      </c>
      <c r="R1082" t="str">
        <f>IF(Q1082=1,COUNTIF($Q$2:$Q1082,1),"")</f>
        <v/>
      </c>
      <c r="S1082" t="str">
        <f>IFERROR(INDEX(ClientInfo[Full Name], MATCH(ROWS($R$2:$R1082),ClientInfo[frequency], 0)),"")</f>
        <v/>
      </c>
    </row>
    <row r="1083" spans="1:19">
      <c r="A1083" t="str">
        <f>TRIM(CONCATENATE(ClientInfo[[#This Row],[First Name]], " ",ClientInfo[[#This Row],[Last Name]]))</f>
        <v>Susan Mandras</v>
      </c>
      <c r="B1083" t="s">
        <v>873</v>
      </c>
      <c r="C1083" t="s">
        <v>1192</v>
      </c>
      <c r="F1083" s="52" t="s">
        <v>1193</v>
      </c>
      <c r="G1083" s="52" t="s">
        <v>1194</v>
      </c>
      <c r="O1083" t="s">
        <v>1195</v>
      </c>
      <c r="Q1083">
        <f>--ISNUMBER(SEARCH('RC Checklist'!$G$2,A1083))</f>
        <v>0</v>
      </c>
      <c r="R1083" t="str">
        <f>IF(Q1083=1,COUNTIF($Q$2:$Q1083,1),"")</f>
        <v/>
      </c>
      <c r="S1083" t="str">
        <f>IFERROR(INDEX(ClientInfo[Full Name], MATCH(ROWS($R$2:$R1083),ClientInfo[frequency], 0)),"")</f>
        <v/>
      </c>
    </row>
    <row r="1084" spans="1:19">
      <c r="A1084" t="str">
        <f>TRIM(CONCATENATE(ClientInfo[[#This Row],[First Name]], " ",ClientInfo[[#This Row],[Last Name]]))</f>
        <v>Susan Roberts</v>
      </c>
      <c r="B1084" t="s">
        <v>873</v>
      </c>
      <c r="C1084" t="s">
        <v>874</v>
      </c>
      <c r="F1084" s="52" t="s">
        <v>875</v>
      </c>
      <c r="Q1084">
        <f>--ISNUMBER(SEARCH('RC Checklist'!$G$2,A1084))</f>
        <v>0</v>
      </c>
      <c r="R1084" t="str">
        <f>IF(Q1084=1,COUNTIF($Q$2:$Q1084,1),"")</f>
        <v/>
      </c>
      <c r="S1084" t="str">
        <f>IFERROR(INDEX(ClientInfo[Full Name], MATCH(ROWS($R$2:$R1084),ClientInfo[frequency], 0)),"")</f>
        <v/>
      </c>
    </row>
    <row r="1085" spans="1:19">
      <c r="A1085" t="str">
        <f>TRIM(CONCATENATE(ClientInfo[[#This Row],[First Name]], " ",ClientInfo[[#This Row],[Last Name]]))</f>
        <v>Susan Walker</v>
      </c>
      <c r="B1085" t="s">
        <v>873</v>
      </c>
      <c r="C1085" t="s">
        <v>271</v>
      </c>
      <c r="D1085" t="s">
        <v>2906</v>
      </c>
      <c r="F1085" s="52" t="s">
        <v>2907</v>
      </c>
      <c r="Q1085">
        <f>--ISNUMBER(SEARCH('RC Checklist'!$G$2,A1085))</f>
        <v>0</v>
      </c>
      <c r="R1085" t="str">
        <f>IF(Q1085=1,COUNTIF($Q$2:$Q1085,1),"")</f>
        <v/>
      </c>
      <c r="S1085" t="str">
        <f>IFERROR(INDEX(ClientInfo[Full Name], MATCH(ROWS($R$2:$R1085),ClientInfo[frequency], 0)),"")</f>
        <v/>
      </c>
    </row>
    <row r="1086" spans="1:19">
      <c r="A1086" t="str">
        <f>TRIM(CONCATENATE(ClientInfo[[#This Row],[First Name]], " ",ClientInfo[[#This Row],[Last Name]]))</f>
        <v>Suzie Coronel</v>
      </c>
      <c r="B1086" t="s">
        <v>1526</v>
      </c>
      <c r="C1086" t="s">
        <v>1527</v>
      </c>
      <c r="F1086" s="52">
        <v>4103362569</v>
      </c>
      <c r="H1086" t="s">
        <v>1528</v>
      </c>
      <c r="Q1086">
        <f>--ISNUMBER(SEARCH('RC Checklist'!$G$2,A1086))</f>
        <v>0</v>
      </c>
      <c r="R1086" t="str">
        <f>IF(Q1086=1,COUNTIF($Q$2:$Q1086,1),"")</f>
        <v/>
      </c>
      <c r="S1086" t="str">
        <f>IFERROR(INDEX(ClientInfo[Full Name], MATCH(ROWS($R$2:$R1086),ClientInfo[frequency], 0)),"")</f>
        <v/>
      </c>
    </row>
    <row r="1087" spans="1:19">
      <c r="A1087" t="str">
        <f>TRIM(CONCATENATE(ClientInfo[[#This Row],[First Name]], " ",ClientInfo[[#This Row],[Last Name]]))</f>
        <v>Tad &amp; Lenore Lyon</v>
      </c>
      <c r="B1087" t="s">
        <v>2427</v>
      </c>
      <c r="C1087" t="s">
        <v>2016</v>
      </c>
      <c r="F1087" s="52" t="s">
        <v>2428</v>
      </c>
      <c r="H1087" t="s">
        <v>2429</v>
      </c>
      <c r="O1087" t="s">
        <v>2430</v>
      </c>
      <c r="Q1087">
        <f>--ISNUMBER(SEARCH('RC Checklist'!$G$2,A1087))</f>
        <v>0</v>
      </c>
      <c r="R1087" t="str">
        <f>IF(Q1087=1,COUNTIF($Q$2:$Q1087,1),"")</f>
        <v/>
      </c>
      <c r="S1087" t="str">
        <f>IFERROR(INDEX(ClientInfo[Full Name], MATCH(ROWS($R$2:$R1087),ClientInfo[frequency], 0)),"")</f>
        <v/>
      </c>
    </row>
    <row r="1088" spans="1:19">
      <c r="A1088" t="str">
        <f>TRIM(CONCATENATE(ClientInfo[[#This Row],[First Name]], " ",ClientInfo[[#This Row],[Last Name]]))</f>
        <v>Tamara Barnes</v>
      </c>
      <c r="B1088" t="s">
        <v>2697</v>
      </c>
      <c r="C1088" t="s">
        <v>2698</v>
      </c>
      <c r="F1088" s="52" t="s">
        <v>2699</v>
      </c>
      <c r="Q1088">
        <f>--ISNUMBER(SEARCH('RC Checklist'!$G$2,A1088))</f>
        <v>0</v>
      </c>
      <c r="R1088" t="str">
        <f>IF(Q1088=1,COUNTIF($Q$2:$Q1088,1),"")</f>
        <v/>
      </c>
      <c r="S1088" t="str">
        <f>IFERROR(INDEX(ClientInfo[Full Name], MATCH(ROWS($R$2:$R1088),ClientInfo[frequency], 0)),"")</f>
        <v/>
      </c>
    </row>
    <row r="1089" spans="1:19">
      <c r="A1089" t="str">
        <f>TRIM(CONCATENATE(ClientInfo[[#This Row],[First Name]], " ",ClientInfo[[#This Row],[Last Name]]))</f>
        <v>Tanneytown Deli</v>
      </c>
      <c r="B1089" t="s">
        <v>1656</v>
      </c>
      <c r="D1089" t="s">
        <v>1656</v>
      </c>
      <c r="Q1089">
        <f>--ISNUMBER(SEARCH('RC Checklist'!$G$2,A1089))</f>
        <v>0</v>
      </c>
      <c r="R1089" t="str">
        <f>IF(Q1089=1,COUNTIF($Q$2:$Q1089,1),"")</f>
        <v/>
      </c>
      <c r="S1089" t="str">
        <f>IFERROR(INDEX(ClientInfo[Full Name], MATCH(ROWS($R$2:$R1089),ClientInfo[frequency], 0)),"")</f>
        <v/>
      </c>
    </row>
    <row r="1090" spans="1:19">
      <c r="A1090" t="str">
        <f>TRIM(CONCATENATE(ClientInfo[[#This Row],[First Name]], " ",ClientInfo[[#This Row],[Last Name]]))</f>
        <v>Target Pharmacy</v>
      </c>
      <c r="B1090" t="s">
        <v>2322</v>
      </c>
      <c r="D1090" t="s">
        <v>2322</v>
      </c>
      <c r="F1090" s="52" t="s">
        <v>2323</v>
      </c>
      <c r="Q1090">
        <f>--ISNUMBER(SEARCH('RC Checklist'!$G$2,A1090))</f>
        <v>0</v>
      </c>
      <c r="R1090" t="str">
        <f>IF(Q1090=1,COUNTIF($Q$2:$Q1090,1),"")</f>
        <v/>
      </c>
      <c r="S1090" t="str">
        <f>IFERROR(INDEX(ClientInfo[Full Name], MATCH(ROWS($R$2:$R1090),ClientInfo[frequency], 0)),"")</f>
        <v/>
      </c>
    </row>
    <row r="1091" spans="1:19">
      <c r="A1091" t="str">
        <f>TRIM(CONCATENATE(ClientInfo[[#This Row],[First Name]], " ",ClientInfo[[#This Row],[Last Name]]))</f>
        <v>Taso</v>
      </c>
      <c r="B1091" t="s">
        <v>2787</v>
      </c>
      <c r="Q1091">
        <f>--ISNUMBER(SEARCH('RC Checklist'!$G$2,A1091))</f>
        <v>0</v>
      </c>
      <c r="R1091" t="str">
        <f>IF(Q1091=1,COUNTIF($Q$2:$Q1091,1),"")</f>
        <v/>
      </c>
      <c r="S1091" t="str">
        <f>IFERROR(INDEX(ClientInfo[Full Name], MATCH(ROWS($R$2:$R1091),ClientInfo[frequency], 0)),"")</f>
        <v/>
      </c>
    </row>
    <row r="1092" spans="1:19">
      <c r="A1092" t="str">
        <f>TRIM(CONCATENATE(ClientInfo[[#This Row],[First Name]], " ",ClientInfo[[#This Row],[Last Name]]))</f>
        <v>Tax Id Number</v>
      </c>
      <c r="B1092" t="s">
        <v>816</v>
      </c>
      <c r="C1092" t="s">
        <v>817</v>
      </c>
      <c r="Q1092">
        <f>--ISNUMBER(SEARCH('RC Checklist'!$G$2,A1092))</f>
        <v>0</v>
      </c>
      <c r="R1092" t="str">
        <f>IF(Q1092=1,COUNTIF($Q$2:$Q1092,1),"")</f>
        <v/>
      </c>
      <c r="S1092" t="str">
        <f>IFERROR(INDEX(ClientInfo[Full Name], MATCH(ROWS($R$2:$R1092),ClientInfo[frequency], 0)),"")</f>
        <v/>
      </c>
    </row>
    <row r="1093" spans="1:19">
      <c r="A1093" t="str">
        <f>TRIM(CONCATENATE(ClientInfo[[#This Row],[First Name]], " ",ClientInfo[[#This Row],[Last Name]]))</f>
        <v>Taylor</v>
      </c>
      <c r="B1093" t="s">
        <v>1224</v>
      </c>
      <c r="F1093" s="52" t="s">
        <v>1225</v>
      </c>
      <c r="Q1093">
        <f>--ISNUMBER(SEARCH('RC Checklist'!$G$2,A1093))</f>
        <v>0</v>
      </c>
      <c r="R1093" t="str">
        <f>IF(Q1093=1,COUNTIF($Q$2:$Q1093,1),"")</f>
        <v/>
      </c>
      <c r="S1093" t="str">
        <f>IFERROR(INDEX(ClientInfo[Full Name], MATCH(ROWS($R$2:$R1093),ClientInfo[frequency], 0)),"")</f>
        <v/>
      </c>
    </row>
    <row r="1094" spans="1:19">
      <c r="A1094" t="str">
        <f>TRIM(CONCATENATE(ClientInfo[[#This Row],[First Name]], " ",ClientInfo[[#This Row],[Last Name]]))</f>
        <v>Tejas R Dhami</v>
      </c>
      <c r="B1094" t="s">
        <v>2306</v>
      </c>
      <c r="C1094" t="s">
        <v>2307</v>
      </c>
      <c r="F1094" s="52">
        <v>4434153826</v>
      </c>
      <c r="H1094" t="s">
        <v>2308</v>
      </c>
      <c r="O1094" t="s">
        <v>2309</v>
      </c>
      <c r="Q1094">
        <f>--ISNUMBER(SEARCH('RC Checklist'!$G$2,A1094))</f>
        <v>0</v>
      </c>
      <c r="R1094" t="str">
        <f>IF(Q1094=1,COUNTIF($Q$2:$Q1094,1),"")</f>
        <v/>
      </c>
      <c r="S1094" t="str">
        <f>IFERROR(INDEX(ClientInfo[Full Name], MATCH(ROWS($R$2:$R1094),ClientInfo[frequency], 0)),"")</f>
        <v/>
      </c>
    </row>
    <row r="1095" spans="1:19">
      <c r="A1095" t="str">
        <f>TRIM(CONCATENATE(ClientInfo[[#This Row],[First Name]], " ",ClientInfo[[#This Row],[Last Name]]))</f>
        <v>Tereesa Drayer</v>
      </c>
      <c r="B1095" t="s">
        <v>1988</v>
      </c>
      <c r="C1095" t="s">
        <v>933</v>
      </c>
      <c r="F1095" s="52">
        <v>4107902527</v>
      </c>
      <c r="Q1095">
        <f>--ISNUMBER(SEARCH('RC Checklist'!$G$2,A1095))</f>
        <v>0</v>
      </c>
      <c r="R1095" t="str">
        <f>IF(Q1095=1,COUNTIF($Q$2:$Q1095,1),"")</f>
        <v/>
      </c>
      <c r="S1095" t="str">
        <f>IFERROR(INDEX(ClientInfo[Full Name], MATCH(ROWS($R$2:$R1095),ClientInfo[frequency], 0)),"")</f>
        <v/>
      </c>
    </row>
    <row r="1096" spans="1:19">
      <c r="A1096" t="str">
        <f>TRIM(CONCATENATE(ClientInfo[[#This Row],[First Name]], " ",ClientInfo[[#This Row],[Last Name]]))</f>
        <v>Terrie Driver</v>
      </c>
      <c r="B1096" t="s">
        <v>379</v>
      </c>
      <c r="C1096" t="s">
        <v>380</v>
      </c>
      <c r="F1096" s="52">
        <v>17172272610</v>
      </c>
      <c r="Q1096">
        <f>--ISNUMBER(SEARCH('RC Checklist'!$G$2,A1096))</f>
        <v>0</v>
      </c>
      <c r="R1096" t="str">
        <f>IF(Q1096=1,COUNTIF($Q$2:$Q1096,1),"")</f>
        <v/>
      </c>
      <c r="S1096" t="str">
        <f>IFERROR(INDEX(ClientInfo[Full Name], MATCH(ROWS($R$2:$R1096),ClientInfo[frequency], 0)),"")</f>
        <v/>
      </c>
    </row>
    <row r="1097" spans="1:19">
      <c r="A1097" t="str">
        <f>TRIM(CONCATENATE(ClientInfo[[#This Row],[First Name]], " ",ClientInfo[[#This Row],[Last Name]]))</f>
        <v>Terrie Hanley</v>
      </c>
      <c r="B1097" t="s">
        <v>379</v>
      </c>
      <c r="C1097" t="s">
        <v>567</v>
      </c>
      <c r="F1097" s="52">
        <v>4432867042</v>
      </c>
      <c r="Q1097">
        <f>--ISNUMBER(SEARCH('RC Checklist'!$G$2,A1097))</f>
        <v>0</v>
      </c>
      <c r="R1097" t="str">
        <f>IF(Q1097=1,COUNTIF($Q$2:$Q1097,1),"")</f>
        <v/>
      </c>
      <c r="S1097" t="str">
        <f>IFERROR(INDEX(ClientInfo[Full Name], MATCH(ROWS($R$2:$R1097),ClientInfo[frequency], 0)),"")</f>
        <v/>
      </c>
    </row>
    <row r="1098" spans="1:19">
      <c r="A1098" t="str">
        <f>TRIM(CONCATENATE(ClientInfo[[#This Row],[First Name]], " ",ClientInfo[[#This Row],[Last Name]]))</f>
        <v>Terry A. Danner</v>
      </c>
      <c r="B1098" t="s">
        <v>199</v>
      </c>
      <c r="C1098" t="s">
        <v>200</v>
      </c>
      <c r="D1098" t="s">
        <v>201</v>
      </c>
      <c r="E1098" t="s">
        <v>202</v>
      </c>
      <c r="F1098" s="52">
        <v>7174512448</v>
      </c>
      <c r="G1098" s="52">
        <v>4107566671</v>
      </c>
      <c r="H1098" t="s">
        <v>203</v>
      </c>
      <c r="O1098" t="s">
        <v>2961</v>
      </c>
      <c r="Q1098">
        <f>--ISNUMBER(SEARCH('RC Checklist'!$G$2,A1098))</f>
        <v>0</v>
      </c>
      <c r="R1098" t="str">
        <f>IF(Q1098=1,COUNTIF($Q$2:$Q1098,1),"")</f>
        <v/>
      </c>
      <c r="S1098" t="str">
        <f>IFERROR(INDEX(ClientInfo[Full Name], MATCH(ROWS($R$2:$R1098),ClientInfo[frequency], 0)),"")</f>
        <v/>
      </c>
    </row>
    <row r="1099" spans="1:19">
      <c r="A1099" t="str">
        <f>TRIM(CONCATENATE(ClientInfo[[#This Row],[First Name]], " ",ClientInfo[[#This Row],[Last Name]]))</f>
        <v>Terry Sopher</v>
      </c>
      <c r="B1099" t="s">
        <v>1864</v>
      </c>
      <c r="C1099" t="s">
        <v>1865</v>
      </c>
      <c r="F1099" s="52" t="s">
        <v>1866</v>
      </c>
      <c r="Q1099">
        <f>--ISNUMBER(SEARCH('RC Checklist'!$G$2,A1099))</f>
        <v>0</v>
      </c>
      <c r="R1099" t="str">
        <f>IF(Q1099=1,COUNTIF($Q$2:$Q1099,1),"")</f>
        <v/>
      </c>
      <c r="S1099" t="str">
        <f>IFERROR(INDEX(ClientInfo[Full Name], MATCH(ROWS($R$2:$R1099),ClientInfo[frequency], 0)),"")</f>
        <v/>
      </c>
    </row>
    <row r="1100" spans="1:19">
      <c r="A1100" t="str">
        <f>TRIM(CONCATENATE(ClientInfo[[#This Row],[First Name]], " ",ClientInfo[[#This Row],[Last Name]]))</f>
        <v>Terry Wildberger</v>
      </c>
      <c r="B1100" t="s">
        <v>1864</v>
      </c>
      <c r="C1100" t="s">
        <v>2341</v>
      </c>
      <c r="D1100" t="s">
        <v>2342</v>
      </c>
      <c r="F1100" s="52" t="s">
        <v>2343</v>
      </c>
      <c r="H1100" t="s">
        <v>2344</v>
      </c>
      <c r="Q1100">
        <f>--ISNUMBER(SEARCH('RC Checklist'!$G$2,A1100))</f>
        <v>0</v>
      </c>
      <c r="R1100" t="str">
        <f>IF(Q1100=1,COUNTIF($Q$2:$Q1100,1),"")</f>
        <v/>
      </c>
      <c r="S1100" t="str">
        <f>IFERROR(INDEX(ClientInfo[Full Name], MATCH(ROWS($R$2:$R1100),ClientInfo[frequency], 0)),"")</f>
        <v/>
      </c>
    </row>
    <row r="1101" spans="1:19">
      <c r="A1101" t="str">
        <f>TRIM(CONCATENATE(ClientInfo[[#This Row],[First Name]], " ",ClientInfo[[#This Row],[Last Name]]))</f>
        <v>The Filler Up</v>
      </c>
      <c r="B1101" t="s">
        <v>2772</v>
      </c>
      <c r="C1101" t="s">
        <v>2773</v>
      </c>
      <c r="F1101" s="52">
        <v>4103575362</v>
      </c>
      <c r="Q1101">
        <f>--ISNUMBER(SEARCH('RC Checklist'!$G$2,A1101))</f>
        <v>0</v>
      </c>
      <c r="R1101" t="str">
        <f>IF(Q1101=1,COUNTIF($Q$2:$Q1101,1),"")</f>
        <v/>
      </c>
      <c r="S1101" t="str">
        <f>IFERROR(INDEX(ClientInfo[Full Name], MATCH(ROWS($R$2:$R1101),ClientInfo[frequency], 0)),"")</f>
        <v/>
      </c>
    </row>
    <row r="1102" spans="1:19">
      <c r="A1102" t="str">
        <f>TRIM(CONCATENATE(ClientInfo[[#This Row],[First Name]], " ",ClientInfo[[#This Row],[Last Name]]))</f>
        <v>The Sewing Place</v>
      </c>
      <c r="B1102" t="s">
        <v>825</v>
      </c>
      <c r="D1102" t="s">
        <v>825</v>
      </c>
      <c r="F1102" s="52" t="s">
        <v>826</v>
      </c>
      <c r="O1102" t="s">
        <v>827</v>
      </c>
      <c r="Q1102">
        <f>--ISNUMBER(SEARCH('RC Checklist'!$G$2,A1102))</f>
        <v>0</v>
      </c>
      <c r="R1102" t="str">
        <f>IF(Q1102=1,COUNTIF($Q$2:$Q1102,1),"")</f>
        <v/>
      </c>
      <c r="S1102" t="str">
        <f>IFERROR(INDEX(ClientInfo[Full Name], MATCH(ROWS($R$2:$R1102),ClientInfo[frequency], 0)),"")</f>
        <v/>
      </c>
    </row>
    <row r="1103" spans="1:19">
      <c r="A1103" t="str">
        <f>TRIM(CONCATENATE(ClientInfo[[#This Row],[First Name]], " ",ClientInfo[[#This Row],[Last Name]]))</f>
        <v>Theresa Drayer</v>
      </c>
      <c r="B1103" t="s">
        <v>932</v>
      </c>
      <c r="C1103" t="s">
        <v>933</v>
      </c>
      <c r="F1103" s="52" t="s">
        <v>934</v>
      </c>
      <c r="Q1103">
        <f>--ISNUMBER(SEARCH('RC Checklist'!$G$2,A1103))</f>
        <v>0</v>
      </c>
      <c r="R1103" t="str">
        <f>IF(Q1103=1,COUNTIF($Q$2:$Q1103,1),"")</f>
        <v/>
      </c>
      <c r="S1103" t="str">
        <f>IFERROR(INDEX(ClientInfo[Full Name], MATCH(ROWS($R$2:$R1103),ClientInfo[frequency], 0)),"")</f>
        <v/>
      </c>
    </row>
    <row r="1104" spans="1:19">
      <c r="A1104" t="str">
        <f>TRIM(CONCATENATE(ClientInfo[[#This Row],[First Name]], " ",ClientInfo[[#This Row],[Last Name]]))</f>
        <v>Thomas Waugh</v>
      </c>
      <c r="B1104" t="s">
        <v>21</v>
      </c>
      <c r="C1104" t="s">
        <v>128</v>
      </c>
      <c r="E1104" t="s">
        <v>129</v>
      </c>
      <c r="F1104" s="52">
        <v>4103964707</v>
      </c>
      <c r="G1104" s="52">
        <v>4103961536</v>
      </c>
      <c r="H1104" t="s">
        <v>130</v>
      </c>
      <c r="O1104" t="s">
        <v>2960</v>
      </c>
      <c r="Q1104">
        <f>--ISNUMBER(SEARCH('RC Checklist'!$G$2,A1104))</f>
        <v>0</v>
      </c>
      <c r="R1104" t="str">
        <f>IF(Q1104=1,COUNTIF($Q$2:$Q1104,1),"")</f>
        <v/>
      </c>
      <c r="S1104" t="str">
        <f>IFERROR(INDEX(ClientInfo[Full Name], MATCH(ROWS($R$2:$R1104),ClientInfo[frequency], 0)),"")</f>
        <v/>
      </c>
    </row>
    <row r="1105" spans="1:19">
      <c r="A1105" t="str">
        <f>TRIM(CONCATENATE(ClientInfo[[#This Row],[First Name]], " ",ClientInfo[[#This Row],[Last Name]]))</f>
        <v>Tideland Caribbean Hotel</v>
      </c>
      <c r="B1105" t="s">
        <v>1941</v>
      </c>
      <c r="D1105" t="s">
        <v>1941</v>
      </c>
      <c r="F1105" s="52" t="s">
        <v>1942</v>
      </c>
      <c r="Q1105">
        <f>--ISNUMBER(SEARCH('RC Checklist'!$G$2,A1105))</f>
        <v>0</v>
      </c>
      <c r="R1105" t="str">
        <f>IF(Q1105=1,COUNTIF($Q$2:$Q1105,1),"")</f>
        <v/>
      </c>
      <c r="S1105" t="str">
        <f>IFERROR(INDEX(ClientInfo[Full Name], MATCH(ROWS($R$2:$R1105),ClientInfo[frequency], 0)),"")</f>
        <v/>
      </c>
    </row>
    <row r="1106" spans="1:19">
      <c r="A1106" t="str">
        <f>TRIM(CONCATENATE(ClientInfo[[#This Row],[First Name]], " ",ClientInfo[[#This Row],[Last Name]]))</f>
        <v>Tiffany Mettel</v>
      </c>
      <c r="B1106" t="s">
        <v>2520</v>
      </c>
      <c r="C1106" t="s">
        <v>2521</v>
      </c>
      <c r="F1106" s="52" t="s">
        <v>2522</v>
      </c>
      <c r="Q1106">
        <f>--ISNUMBER(SEARCH('RC Checklist'!$G$2,A1106))</f>
        <v>0</v>
      </c>
      <c r="R1106" t="str">
        <f>IF(Q1106=1,COUNTIF($Q$2:$Q1106,1),"")</f>
        <v/>
      </c>
      <c r="S1106" t="str">
        <f>IFERROR(INDEX(ClientInfo[Full Name], MATCH(ROWS($R$2:$R1106),ClientInfo[frequency], 0)),"")</f>
        <v/>
      </c>
    </row>
    <row r="1107" spans="1:19">
      <c r="A1107" t="str">
        <f>TRIM(CONCATENATE(ClientInfo[[#This Row],[First Name]], " ",ClientInfo[[#This Row],[Last Name]]))</f>
        <v>Tim &amp; Leah Dickens</v>
      </c>
      <c r="B1107" t="s">
        <v>456</v>
      </c>
      <c r="C1107" t="s">
        <v>457</v>
      </c>
      <c r="F1107" s="52">
        <v>14435402507</v>
      </c>
      <c r="G1107" s="52" t="s">
        <v>458</v>
      </c>
      <c r="O1107" t="s">
        <v>459</v>
      </c>
      <c r="Q1107">
        <f>--ISNUMBER(SEARCH('RC Checklist'!$G$2,A1107))</f>
        <v>0</v>
      </c>
      <c r="R1107" t="str">
        <f>IF(Q1107=1,COUNTIF($Q$2:$Q1107,1),"")</f>
        <v/>
      </c>
      <c r="S1107" t="str">
        <f>IFERROR(INDEX(ClientInfo[Full Name], MATCH(ROWS($R$2:$R1107),ClientInfo[frequency], 0)),"")</f>
        <v/>
      </c>
    </row>
    <row r="1108" spans="1:19">
      <c r="A1108" t="str">
        <f>TRIM(CONCATENATE(ClientInfo[[#This Row],[First Name]], " ",ClientInfo[[#This Row],[Last Name]]))</f>
        <v>Tim &amp; Trisha Dunn</v>
      </c>
      <c r="B1108" t="s">
        <v>2115</v>
      </c>
      <c r="C1108" t="s">
        <v>2116</v>
      </c>
      <c r="P1108" t="s">
        <v>2117</v>
      </c>
      <c r="Q1108">
        <f>--ISNUMBER(SEARCH('RC Checklist'!$G$2,A1108))</f>
        <v>0</v>
      </c>
      <c r="R1108" t="str">
        <f>IF(Q1108=1,COUNTIF($Q$2:$Q1108,1),"")</f>
        <v/>
      </c>
      <c r="S1108" t="str">
        <f>IFERROR(INDEX(ClientInfo[Full Name], MATCH(ROWS($R$2:$R1108),ClientInfo[frequency], 0)),"")</f>
        <v/>
      </c>
    </row>
    <row r="1109" spans="1:19">
      <c r="A1109" t="str">
        <f>TRIM(CONCATENATE(ClientInfo[[#This Row],[First Name]], " ",ClientInfo[[#This Row],[Last Name]]))</f>
        <v>Tim Barrows</v>
      </c>
      <c r="B1109" t="s">
        <v>472</v>
      </c>
      <c r="C1109" t="s">
        <v>1552</v>
      </c>
      <c r="F1109" s="52" t="s">
        <v>1553</v>
      </c>
      <c r="Q1109">
        <f>--ISNUMBER(SEARCH('RC Checklist'!$G$2,A1109))</f>
        <v>0</v>
      </c>
      <c r="R1109" t="str">
        <f>IF(Q1109=1,COUNTIF($Q$2:$Q1109,1),"")</f>
        <v/>
      </c>
      <c r="S1109" t="str">
        <f>IFERROR(INDEX(ClientInfo[Full Name], MATCH(ROWS($R$2:$R1109),ClientInfo[frequency], 0)),"")</f>
        <v/>
      </c>
    </row>
    <row r="1110" spans="1:19">
      <c r="A1110" t="str">
        <f>TRIM(CONCATENATE(ClientInfo[[#This Row],[First Name]], " ",ClientInfo[[#This Row],[Last Name]]))</f>
        <v>Tim Breaux</v>
      </c>
      <c r="B1110" t="s">
        <v>472</v>
      </c>
      <c r="C1110" t="s">
        <v>473</v>
      </c>
      <c r="F1110" s="52" t="s">
        <v>474</v>
      </c>
      <c r="G1110" s="52" t="s">
        <v>475</v>
      </c>
      <c r="Q1110">
        <f>--ISNUMBER(SEARCH('RC Checklist'!$G$2,A1110))</f>
        <v>0</v>
      </c>
      <c r="R1110" t="str">
        <f>IF(Q1110=1,COUNTIF($Q$2:$Q1110,1),"")</f>
        <v/>
      </c>
      <c r="S1110" t="str">
        <f>IFERROR(INDEX(ClientInfo[Full Name], MATCH(ROWS($R$2:$R1110),ClientInfo[frequency], 0)),"")</f>
        <v/>
      </c>
    </row>
    <row r="1111" spans="1:19">
      <c r="A1111" t="str">
        <f>TRIM(CONCATENATE(ClientInfo[[#This Row],[First Name]], " ",ClientInfo[[#This Row],[Last Name]]))</f>
        <v>Tim Davis</v>
      </c>
      <c r="B1111" t="s">
        <v>472</v>
      </c>
      <c r="C1111" t="s">
        <v>602</v>
      </c>
      <c r="F1111" s="52" t="s">
        <v>1248</v>
      </c>
      <c r="H1111" t="s">
        <v>1249</v>
      </c>
      <c r="O1111" t="s">
        <v>1250</v>
      </c>
      <c r="Q1111">
        <f>--ISNUMBER(SEARCH('RC Checklist'!$G$2,A1111))</f>
        <v>0</v>
      </c>
      <c r="R1111" t="str">
        <f>IF(Q1111=1,COUNTIF($Q$2:$Q1111,1),"")</f>
        <v/>
      </c>
      <c r="S1111" t="str">
        <f>IFERROR(INDEX(ClientInfo[Full Name], MATCH(ROWS($R$2:$R1111),ClientInfo[frequency], 0)),"")</f>
        <v/>
      </c>
    </row>
    <row r="1112" spans="1:19">
      <c r="A1112" t="str">
        <f>TRIM(CONCATENATE(ClientInfo[[#This Row],[First Name]], " ",ClientInfo[[#This Row],[Last Name]]))</f>
        <v>Tim Kuhn</v>
      </c>
      <c r="B1112" t="s">
        <v>472</v>
      </c>
      <c r="C1112" t="s">
        <v>840</v>
      </c>
      <c r="Q1112">
        <f>--ISNUMBER(SEARCH('RC Checklist'!$G$2,A1112))</f>
        <v>0</v>
      </c>
      <c r="R1112" t="str">
        <f>IF(Q1112=1,COUNTIF($Q$2:$Q1112,1),"")</f>
        <v/>
      </c>
      <c r="S1112" t="str">
        <f>IFERROR(INDEX(ClientInfo[Full Name], MATCH(ROWS($R$2:$R1112),ClientInfo[frequency], 0)),"")</f>
        <v/>
      </c>
    </row>
    <row r="1113" spans="1:19">
      <c r="A1113" t="str">
        <f>TRIM(CONCATENATE(ClientInfo[[#This Row],[First Name]], " ",ClientInfo[[#This Row],[Last Name]]))</f>
        <v>Tim Lewis</v>
      </c>
      <c r="B1113" t="s">
        <v>472</v>
      </c>
      <c r="C1113" t="s">
        <v>513</v>
      </c>
      <c r="H1113" t="s">
        <v>1053</v>
      </c>
      <c r="P1113">
        <v>1910</v>
      </c>
      <c r="Q1113">
        <f>--ISNUMBER(SEARCH('RC Checklist'!$G$2,A1113))</f>
        <v>0</v>
      </c>
      <c r="R1113" t="str">
        <f>IF(Q1113=1,COUNTIF($Q$2:$Q1113,1),"")</f>
        <v/>
      </c>
      <c r="S1113" t="str">
        <f>IFERROR(INDEX(ClientInfo[Full Name], MATCH(ROWS($R$2:$R1113),ClientInfo[frequency], 0)),"")</f>
        <v/>
      </c>
    </row>
    <row r="1114" spans="1:19">
      <c r="A1114" t="str">
        <f>TRIM(CONCATENATE(ClientInfo[[#This Row],[First Name]], " ",ClientInfo[[#This Row],[Last Name]]))</f>
        <v>Tim Turnback</v>
      </c>
      <c r="B1114" t="s">
        <v>472</v>
      </c>
      <c r="C1114" t="s">
        <v>686</v>
      </c>
      <c r="F1114" s="52" t="s">
        <v>687</v>
      </c>
      <c r="H1114" t="s">
        <v>688</v>
      </c>
      <c r="P1114" t="s">
        <v>689</v>
      </c>
      <c r="Q1114">
        <f>--ISNUMBER(SEARCH('RC Checklist'!$G$2,A1114))</f>
        <v>0</v>
      </c>
      <c r="R1114" t="str">
        <f>IF(Q1114=1,COUNTIF($Q$2:$Q1114,1),"")</f>
        <v/>
      </c>
      <c r="S1114" t="str">
        <f>IFERROR(INDEX(ClientInfo[Full Name], MATCH(ROWS($R$2:$R1114),ClientInfo[frequency], 0)),"")</f>
        <v/>
      </c>
    </row>
    <row r="1115" spans="1:19">
      <c r="A1115" t="str">
        <f>TRIM(CONCATENATE(ClientInfo[[#This Row],[First Name]], " ",ClientInfo[[#This Row],[Last Name]]))</f>
        <v>Tim Williams</v>
      </c>
      <c r="B1115" t="s">
        <v>472</v>
      </c>
      <c r="C1115" t="s">
        <v>405</v>
      </c>
      <c r="F1115" s="52">
        <v>3015244731</v>
      </c>
      <c r="H1115" t="s">
        <v>1807</v>
      </c>
      <c r="Q1115">
        <f>--ISNUMBER(SEARCH('RC Checklist'!$G$2,A1115))</f>
        <v>0</v>
      </c>
      <c r="R1115" t="str">
        <f>IF(Q1115=1,COUNTIF($Q$2:$Q1115,1),"")</f>
        <v/>
      </c>
      <c r="S1115" t="str">
        <f>IFERROR(INDEX(ClientInfo[Full Name], MATCH(ROWS($R$2:$R1115),ClientInfo[frequency], 0)),"")</f>
        <v/>
      </c>
    </row>
    <row r="1116" spans="1:19">
      <c r="A1116" t="str">
        <f>TRIM(CONCATENATE(ClientInfo[[#This Row],[First Name]], " ",ClientInfo[[#This Row],[Last Name]]))</f>
        <v>Timonium dodge</v>
      </c>
      <c r="B1116" t="s">
        <v>1780</v>
      </c>
      <c r="C1116" t="s">
        <v>1144</v>
      </c>
      <c r="F1116" s="52">
        <v>4106669600</v>
      </c>
      <c r="Q1116">
        <f>--ISNUMBER(SEARCH('RC Checklist'!$G$2,A1116))</f>
        <v>0</v>
      </c>
      <c r="R1116" t="str">
        <f>IF(Q1116=1,COUNTIF($Q$2:$Q1116,1),"")</f>
        <v/>
      </c>
      <c r="S1116" t="str">
        <f>IFERROR(INDEX(ClientInfo[Full Name], MATCH(ROWS($R$2:$R1116),ClientInfo[frequency], 0)),"")</f>
        <v/>
      </c>
    </row>
    <row r="1117" spans="1:19">
      <c r="A1117" t="str">
        <f>TRIM(CONCATENATE(ClientInfo[[#This Row],[First Name]], " ",ClientInfo[[#This Row],[Last Name]]))</f>
        <v>Timothy Manuelides</v>
      </c>
      <c r="B1117" t="s">
        <v>1065</v>
      </c>
      <c r="C1117" t="s">
        <v>1066</v>
      </c>
      <c r="F1117" s="52" t="s">
        <v>1067</v>
      </c>
      <c r="O1117" t="s">
        <v>1068</v>
      </c>
      <c r="Q1117">
        <f>--ISNUMBER(SEARCH('RC Checklist'!$G$2,A1117))</f>
        <v>0</v>
      </c>
      <c r="R1117" t="str">
        <f>IF(Q1117=1,COUNTIF($Q$2:$Q1117,1),"")</f>
        <v/>
      </c>
      <c r="S1117" t="str">
        <f>IFERROR(INDEX(ClientInfo[Full Name], MATCH(ROWS($R$2:$R1117),ClientInfo[frequency], 0)),"")</f>
        <v/>
      </c>
    </row>
    <row r="1118" spans="1:19">
      <c r="A1118" t="str">
        <f>TRIM(CONCATENATE(ClientInfo[[#This Row],[First Name]], " ",ClientInfo[[#This Row],[Last Name]]))</f>
        <v>Tina</v>
      </c>
      <c r="B1118" t="s">
        <v>489</v>
      </c>
      <c r="D1118" t="s">
        <v>490</v>
      </c>
      <c r="F1118" s="52">
        <v>4102529930</v>
      </c>
      <c r="G1118" s="52" t="s">
        <v>491</v>
      </c>
      <c r="H1118" t="s">
        <v>492</v>
      </c>
      <c r="Q1118">
        <f>--ISNUMBER(SEARCH('RC Checklist'!$G$2,A1118))</f>
        <v>0</v>
      </c>
      <c r="R1118" t="str">
        <f>IF(Q1118=1,COUNTIF($Q$2:$Q1118,1),"")</f>
        <v/>
      </c>
      <c r="S1118" t="str">
        <f>IFERROR(INDEX(ClientInfo[Full Name], MATCH(ROWS($R$2:$R1118),ClientInfo[frequency], 0)),"")</f>
        <v/>
      </c>
    </row>
    <row r="1119" spans="1:19">
      <c r="A1119" t="str">
        <f>TRIM(CONCATENATE(ClientInfo[[#This Row],[First Name]], " ",ClientInfo[[#This Row],[Last Name]]))</f>
        <v>Tina Mc Coach</v>
      </c>
      <c r="B1119" t="s">
        <v>489</v>
      </c>
      <c r="C1119" t="s">
        <v>2564</v>
      </c>
      <c r="F1119" s="52" t="s">
        <v>2565</v>
      </c>
      <c r="Q1119">
        <f>--ISNUMBER(SEARCH('RC Checklist'!$G$2,A1119))</f>
        <v>0</v>
      </c>
      <c r="R1119" t="str">
        <f>IF(Q1119=1,COUNTIF($Q$2:$Q1119,1),"")</f>
        <v/>
      </c>
      <c r="S1119" t="str">
        <f>IFERROR(INDEX(ClientInfo[Full Name], MATCH(ROWS($R$2:$R1119),ClientInfo[frequency], 0)),"")</f>
        <v/>
      </c>
    </row>
    <row r="1120" spans="1:19">
      <c r="A1120" t="str">
        <f>TRIM(CONCATENATE(ClientInfo[[#This Row],[First Name]], " ",ClientInfo[[#This Row],[Last Name]]))</f>
        <v>Tina Rosolowski</v>
      </c>
      <c r="B1120" t="s">
        <v>489</v>
      </c>
      <c r="C1120" t="s">
        <v>2047</v>
      </c>
      <c r="F1120" s="52" t="s">
        <v>2048</v>
      </c>
      <c r="Q1120">
        <f>--ISNUMBER(SEARCH('RC Checklist'!$G$2,A1120))</f>
        <v>0</v>
      </c>
      <c r="R1120" t="str">
        <f>IF(Q1120=1,COUNTIF($Q$2:$Q1120,1),"")</f>
        <v/>
      </c>
      <c r="S1120" t="str">
        <f>IFERROR(INDEX(ClientInfo[Full Name], MATCH(ROWS($R$2:$R1120),ClientInfo[frequency], 0)),"")</f>
        <v/>
      </c>
    </row>
    <row r="1121" spans="1:19">
      <c r="A1121" t="str">
        <f>TRIM(CONCATENATE(ClientInfo[[#This Row],[First Name]], " ",ClientInfo[[#This Row],[Last Name]]))</f>
        <v>Tire distributors</v>
      </c>
      <c r="B1121" t="s">
        <v>1399</v>
      </c>
      <c r="C1121" t="s">
        <v>1400</v>
      </c>
      <c r="F1121" s="52">
        <v>4105744200</v>
      </c>
      <c r="Q1121">
        <f>--ISNUMBER(SEARCH('RC Checklist'!$G$2,A1121))</f>
        <v>0</v>
      </c>
      <c r="R1121" t="str">
        <f>IF(Q1121=1,COUNTIF($Q$2:$Q1121,1),"")</f>
        <v/>
      </c>
      <c r="S1121" t="str">
        <f>IFERROR(INDEX(ClientInfo[Full Name], MATCH(ROWS($R$2:$R1121),ClientInfo[frequency], 0)),"")</f>
        <v/>
      </c>
    </row>
    <row r="1122" spans="1:19">
      <c r="A1122" t="str">
        <f>TRIM(CONCATENATE(ClientInfo[[#This Row],[First Name]], " ",ClientInfo[[#This Row],[Last Name]]))</f>
        <v>Tirerack</v>
      </c>
      <c r="B1122" t="s">
        <v>1033</v>
      </c>
      <c r="F1122" s="52">
        <v>18004450179</v>
      </c>
      <c r="Q1122">
        <f>--ISNUMBER(SEARCH('RC Checklist'!$G$2,A1122))</f>
        <v>0</v>
      </c>
      <c r="R1122" t="str">
        <f>IF(Q1122=1,COUNTIF($Q$2:$Q1122,1),"")</f>
        <v/>
      </c>
      <c r="S1122" t="str">
        <f>IFERROR(INDEX(ClientInfo[Full Name], MATCH(ROWS($R$2:$R1122),ClientInfo[frequency], 0)),"")</f>
        <v/>
      </c>
    </row>
    <row r="1123" spans="1:19">
      <c r="A1123" t="str">
        <f>TRIM(CONCATENATE(ClientInfo[[#This Row],[First Name]], " ",ClientInfo[[#This Row],[Last Name]]))</f>
        <v>TJ</v>
      </c>
      <c r="B1123" t="s">
        <v>2710</v>
      </c>
      <c r="F1123" s="52" t="s">
        <v>2711</v>
      </c>
      <c r="Q1123">
        <f>--ISNUMBER(SEARCH('RC Checklist'!$G$2,A1123))</f>
        <v>0</v>
      </c>
      <c r="R1123" t="str">
        <f>IF(Q1123=1,COUNTIF($Q$2:$Q1123,1),"")</f>
        <v/>
      </c>
      <c r="S1123" t="str">
        <f>IFERROR(INDEX(ClientInfo[Full Name], MATCH(ROWS($R$2:$R1123),ClientInfo[frequency], 0)),"")</f>
        <v/>
      </c>
    </row>
    <row r="1124" spans="1:19">
      <c r="A1124" t="str">
        <f>TRIM(CONCATENATE(ClientInfo[[#This Row],[First Name]], " ",ClientInfo[[#This Row],[Last Name]]))</f>
        <v>TJ &amp; Nichole</v>
      </c>
      <c r="B1124" t="s">
        <v>2834</v>
      </c>
      <c r="F1124" s="52" t="s">
        <v>2835</v>
      </c>
      <c r="Q1124">
        <f>--ISNUMBER(SEARCH('RC Checklist'!$G$2,A1124))</f>
        <v>0</v>
      </c>
      <c r="R1124" t="str">
        <f>IF(Q1124=1,COUNTIF($Q$2:$Q1124,1),"")</f>
        <v/>
      </c>
      <c r="S1124" t="str">
        <f>IFERROR(INDEX(ClientInfo[Full Name], MATCH(ROWS($R$2:$R1124),ClientInfo[frequency], 0)),"")</f>
        <v/>
      </c>
    </row>
    <row r="1125" spans="1:19">
      <c r="A1125" t="str">
        <f>TRIM(CONCATENATE(ClientInfo[[#This Row],[First Name]], " ",ClientInfo[[#This Row],[Last Name]]))</f>
        <v>Tj Napa</v>
      </c>
      <c r="B1125" t="s">
        <v>2468</v>
      </c>
      <c r="C1125" t="s">
        <v>2469</v>
      </c>
      <c r="F1125" s="52">
        <v>4104040082</v>
      </c>
      <c r="Q1125">
        <f>--ISNUMBER(SEARCH('RC Checklist'!$G$2,A1125))</f>
        <v>0</v>
      </c>
      <c r="R1125" t="str">
        <f>IF(Q1125=1,COUNTIF($Q$2:$Q1125,1),"")</f>
        <v/>
      </c>
      <c r="S1125" t="str">
        <f>IFERROR(INDEX(ClientInfo[Full Name], MATCH(ROWS($R$2:$R1125),ClientInfo[frequency], 0)),"")</f>
        <v/>
      </c>
    </row>
    <row r="1126" spans="1:19">
      <c r="A1126" t="str">
        <f>TRIM(CONCATENATE(ClientInfo[[#This Row],[First Name]], " ",ClientInfo[[#This Row],[Last Name]]))</f>
        <v>Todd</v>
      </c>
      <c r="B1126" t="s">
        <v>639</v>
      </c>
      <c r="D1126" t="s">
        <v>640</v>
      </c>
      <c r="F1126" s="52">
        <v>7174566030</v>
      </c>
      <c r="Q1126">
        <f>--ISNUMBER(SEARCH('RC Checklist'!$G$2,A1126))</f>
        <v>0</v>
      </c>
      <c r="R1126" t="str">
        <f>IF(Q1126=1,COUNTIF($Q$2:$Q1126,1),"")</f>
        <v/>
      </c>
      <c r="S1126" t="str">
        <f>IFERROR(INDEX(ClientInfo[Full Name], MATCH(ROWS($R$2:$R1126),ClientInfo[frequency], 0)),"")</f>
        <v/>
      </c>
    </row>
    <row r="1127" spans="1:19">
      <c r="A1127" t="str">
        <f>TRIM(CONCATENATE(ClientInfo[[#This Row],[First Name]], " ",ClientInfo[[#This Row],[Last Name]]))</f>
        <v>Todd Benckini</v>
      </c>
      <c r="B1127" t="s">
        <v>639</v>
      </c>
      <c r="C1127" t="s">
        <v>1826</v>
      </c>
      <c r="F1127" s="52">
        <v>14102451085</v>
      </c>
      <c r="H1127" t="s">
        <v>1827</v>
      </c>
      <c r="Q1127">
        <f>--ISNUMBER(SEARCH('RC Checklist'!$G$2,A1127))</f>
        <v>0</v>
      </c>
      <c r="R1127" t="str">
        <f>IF(Q1127=1,COUNTIF($Q$2:$Q1127,1),"")</f>
        <v/>
      </c>
      <c r="S1127" t="str">
        <f>IFERROR(INDEX(ClientInfo[Full Name], MATCH(ROWS($R$2:$R1127),ClientInfo[frequency], 0)),"")</f>
        <v/>
      </c>
    </row>
    <row r="1128" spans="1:19">
      <c r="A1128" t="str">
        <f>TRIM(CONCATENATE(ClientInfo[[#This Row],[First Name]], " ",ClientInfo[[#This Row],[Last Name]]))</f>
        <v>Todd Gray</v>
      </c>
      <c r="B1128" t="s">
        <v>639</v>
      </c>
      <c r="C1128" t="s">
        <v>1123</v>
      </c>
      <c r="D1128" t="s">
        <v>1428</v>
      </c>
      <c r="F1128" s="52">
        <v>4104042425</v>
      </c>
      <c r="Q1128">
        <f>--ISNUMBER(SEARCH('RC Checklist'!$G$2,A1128))</f>
        <v>0</v>
      </c>
      <c r="R1128" t="str">
        <f>IF(Q1128=1,COUNTIF($Q$2:$Q1128,1),"")</f>
        <v/>
      </c>
      <c r="S1128" t="str">
        <f>IFERROR(INDEX(ClientInfo[Full Name], MATCH(ROWS($R$2:$R1128),ClientInfo[frequency], 0)),"")</f>
        <v/>
      </c>
    </row>
    <row r="1129" spans="1:19">
      <c r="A1129" t="str">
        <f>TRIM(CONCATENATE(ClientInfo[[#This Row],[First Name]], " ",ClientInfo[[#This Row],[Last Name]]))</f>
        <v>Tom</v>
      </c>
      <c r="B1129" t="s">
        <v>276</v>
      </c>
      <c r="D1129" t="s">
        <v>1264</v>
      </c>
      <c r="F1129" s="52" t="s">
        <v>1265</v>
      </c>
      <c r="Q1129">
        <f>--ISNUMBER(SEARCH('RC Checklist'!$G$2,A1129))</f>
        <v>0</v>
      </c>
      <c r="R1129" t="str">
        <f>IF(Q1129=1,COUNTIF($Q$2:$Q1129,1),"")</f>
        <v/>
      </c>
      <c r="S1129" t="str">
        <f>IFERROR(INDEX(ClientInfo[Full Name], MATCH(ROWS($R$2:$R1129),ClientInfo[frequency], 0)),"")</f>
        <v/>
      </c>
    </row>
    <row r="1130" spans="1:19">
      <c r="A1130" t="str">
        <f>TRIM(CONCATENATE(ClientInfo[[#This Row],[First Name]], " ",ClientInfo[[#This Row],[Last Name]]))</f>
        <v>Tom &amp; Betty Fannin</v>
      </c>
      <c r="B1130" t="s">
        <v>2031</v>
      </c>
      <c r="C1130" t="s">
        <v>214</v>
      </c>
      <c r="F1130" s="52">
        <v>4106651025</v>
      </c>
      <c r="O1130" t="s">
        <v>2032</v>
      </c>
      <c r="Q1130">
        <f>--ISNUMBER(SEARCH('RC Checklist'!$G$2,A1130))</f>
        <v>0</v>
      </c>
      <c r="R1130" t="str">
        <f>IF(Q1130=1,COUNTIF($Q$2:$Q1130,1),"")</f>
        <v/>
      </c>
      <c r="S1130" t="str">
        <f>IFERROR(INDEX(ClientInfo[Full Name], MATCH(ROWS($R$2:$R1130),ClientInfo[frequency], 0)),"")</f>
        <v/>
      </c>
    </row>
    <row r="1131" spans="1:19">
      <c r="A1131" t="str">
        <f>TRIM(CONCATENATE(ClientInfo[[#This Row],[First Name]], " ",ClientInfo[[#This Row],[Last Name]]))</f>
        <v>Tom &amp; Liza Debolt</v>
      </c>
      <c r="B1131" t="s">
        <v>417</v>
      </c>
      <c r="C1131" t="s">
        <v>418</v>
      </c>
      <c r="F1131" s="52" t="s">
        <v>419</v>
      </c>
      <c r="G1131" s="52" t="s">
        <v>420</v>
      </c>
      <c r="H1131" t="s">
        <v>421</v>
      </c>
      <c r="O1131" t="s">
        <v>422</v>
      </c>
      <c r="Q1131">
        <f>--ISNUMBER(SEARCH('RC Checklist'!$G$2,A1131))</f>
        <v>0</v>
      </c>
      <c r="R1131" t="str">
        <f>IF(Q1131=1,COUNTIF($Q$2:$Q1131,1),"")</f>
        <v/>
      </c>
      <c r="S1131" t="str">
        <f>IFERROR(INDEX(ClientInfo[Full Name], MATCH(ROWS($R$2:$R1131),ClientInfo[frequency], 0)),"")</f>
        <v/>
      </c>
    </row>
    <row r="1132" spans="1:19">
      <c r="A1132" t="str">
        <f>TRIM(CONCATENATE(ClientInfo[[#This Row],[First Name]], " ",ClientInfo[[#This Row],[Last Name]]))</f>
        <v>Tom &amp; Veronica Colgan</v>
      </c>
      <c r="B1132" t="s">
        <v>617</v>
      </c>
      <c r="C1132" t="s">
        <v>618</v>
      </c>
      <c r="O1132" t="s">
        <v>619</v>
      </c>
      <c r="Q1132">
        <f>--ISNUMBER(SEARCH('RC Checklist'!$G$2,A1132))</f>
        <v>0</v>
      </c>
      <c r="R1132" t="str">
        <f>IF(Q1132=1,COUNTIF($Q$2:$Q1132,1),"")</f>
        <v/>
      </c>
      <c r="S1132" t="str">
        <f>IFERROR(INDEX(ClientInfo[Full Name], MATCH(ROWS($R$2:$R1132),ClientInfo[frequency], 0)),"")</f>
        <v/>
      </c>
    </row>
    <row r="1133" spans="1:19">
      <c r="A1133" t="str">
        <f>TRIM(CONCATENATE(ClientInfo[[#This Row],[First Name]], " ",ClientInfo[[#This Row],[Last Name]]))</f>
        <v>Tom Bonvissuto</v>
      </c>
      <c r="B1133" t="s">
        <v>276</v>
      </c>
      <c r="C1133" t="s">
        <v>2439</v>
      </c>
      <c r="H1133" t="s">
        <v>2440</v>
      </c>
      <c r="Q1133">
        <f>--ISNUMBER(SEARCH('RC Checklist'!$G$2,A1133))</f>
        <v>0</v>
      </c>
      <c r="R1133" t="str">
        <f>IF(Q1133=1,COUNTIF($Q$2:$Q1133,1),"")</f>
        <v/>
      </c>
      <c r="S1133" t="str">
        <f>IFERROR(INDEX(ClientInfo[Full Name], MATCH(ROWS($R$2:$R1133),ClientInfo[frequency], 0)),"")</f>
        <v/>
      </c>
    </row>
    <row r="1134" spans="1:19">
      <c r="A1134" t="str">
        <f>TRIM(CONCATENATE(ClientInfo[[#This Row],[First Name]], " ",ClientInfo[[#This Row],[Last Name]]))</f>
        <v>Tom Cook</v>
      </c>
      <c r="B1134" t="s">
        <v>276</v>
      </c>
      <c r="C1134" t="s">
        <v>800</v>
      </c>
      <c r="F1134" s="52" t="s">
        <v>2674</v>
      </c>
      <c r="Q1134">
        <f>--ISNUMBER(SEARCH('RC Checklist'!$G$2,A1134))</f>
        <v>0</v>
      </c>
      <c r="R1134" t="str">
        <f>IF(Q1134=1,COUNTIF($Q$2:$Q1134,1),"")</f>
        <v/>
      </c>
      <c r="S1134" t="str">
        <f>IFERROR(INDEX(ClientInfo[Full Name], MATCH(ROWS($R$2:$R1134),ClientInfo[frequency], 0)),"")</f>
        <v/>
      </c>
    </row>
    <row r="1135" spans="1:19">
      <c r="A1135" t="str">
        <f>TRIM(CONCATENATE(ClientInfo[[#This Row],[First Name]], " ",ClientInfo[[#This Row],[Last Name]]))</f>
        <v>Tom Goal</v>
      </c>
      <c r="B1135" t="s">
        <v>276</v>
      </c>
      <c r="C1135" t="s">
        <v>1573</v>
      </c>
      <c r="F1135" s="52">
        <v>5403161985</v>
      </c>
      <c r="Q1135">
        <f>--ISNUMBER(SEARCH('RC Checklist'!$G$2,A1135))</f>
        <v>0</v>
      </c>
      <c r="R1135" t="str">
        <f>IF(Q1135=1,COUNTIF($Q$2:$Q1135,1),"")</f>
        <v/>
      </c>
      <c r="S1135" t="str">
        <f>IFERROR(INDEX(ClientInfo[Full Name], MATCH(ROWS($R$2:$R1135),ClientInfo[frequency], 0)),"")</f>
        <v/>
      </c>
    </row>
    <row r="1136" spans="1:19">
      <c r="A1136" t="str">
        <f>TRIM(CONCATENATE(ClientInfo[[#This Row],[First Name]], " ",ClientInfo[[#This Row],[Last Name]]))</f>
        <v>Tom Griffiths</v>
      </c>
      <c r="B1136" t="s">
        <v>276</v>
      </c>
      <c r="C1136" t="s">
        <v>609</v>
      </c>
      <c r="H1136" t="s">
        <v>610</v>
      </c>
      <c r="Q1136">
        <f>--ISNUMBER(SEARCH('RC Checklist'!$G$2,A1136))</f>
        <v>0</v>
      </c>
      <c r="R1136" t="str">
        <f>IF(Q1136=1,COUNTIF($Q$2:$Q1136,1),"")</f>
        <v/>
      </c>
      <c r="S1136" t="str">
        <f>IFERROR(INDEX(ClientInfo[Full Name], MATCH(ROWS($R$2:$R1136),ClientInfo[frequency], 0)),"")</f>
        <v/>
      </c>
    </row>
    <row r="1137" spans="1:19">
      <c r="A1137" t="str">
        <f>TRIM(CONCATENATE(ClientInfo[[#This Row],[First Name]], " ",ClientInfo[[#This Row],[Last Name]]))</f>
        <v>Tom Hayden</v>
      </c>
      <c r="B1137" t="s">
        <v>276</v>
      </c>
      <c r="C1137" t="s">
        <v>1904</v>
      </c>
      <c r="Q1137">
        <f>--ISNUMBER(SEARCH('RC Checklist'!$G$2,A1137))</f>
        <v>0</v>
      </c>
      <c r="R1137" t="str">
        <f>IF(Q1137=1,COUNTIF($Q$2:$Q1137,1),"")</f>
        <v/>
      </c>
      <c r="S1137" t="str">
        <f>IFERROR(INDEX(ClientInfo[Full Name], MATCH(ROWS($R$2:$R1137),ClientInfo[frequency], 0)),"")</f>
        <v/>
      </c>
    </row>
    <row r="1138" spans="1:19">
      <c r="A1138" t="str">
        <f>TRIM(CONCATENATE(ClientInfo[[#This Row],[First Name]], " ",ClientInfo[[#This Row],[Last Name]]))</f>
        <v>Tom kaine</v>
      </c>
      <c r="B1138" t="s">
        <v>276</v>
      </c>
      <c r="C1138" t="s">
        <v>344</v>
      </c>
      <c r="F1138" s="52">
        <v>4106389991</v>
      </c>
      <c r="Q1138">
        <f>--ISNUMBER(SEARCH('RC Checklist'!$G$2,A1138))</f>
        <v>0</v>
      </c>
      <c r="R1138" t="str">
        <f>IF(Q1138=1,COUNTIF($Q$2:$Q1138,1),"")</f>
        <v/>
      </c>
      <c r="S1138" t="str">
        <f>IFERROR(INDEX(ClientInfo[Full Name], MATCH(ROWS($R$2:$R1138),ClientInfo[frequency], 0)),"")</f>
        <v/>
      </c>
    </row>
    <row r="1139" spans="1:19">
      <c r="A1139" t="str">
        <f>TRIM(CONCATENATE(ClientInfo[[#This Row],[First Name]], " ",ClientInfo[[#This Row],[Last Name]]))</f>
        <v>Tom Miller</v>
      </c>
      <c r="B1139" t="s">
        <v>276</v>
      </c>
      <c r="C1139" t="s">
        <v>1426</v>
      </c>
      <c r="F1139" s="52" t="s">
        <v>1665</v>
      </c>
      <c r="Q1139">
        <f>--ISNUMBER(SEARCH('RC Checklist'!$G$2,A1139))</f>
        <v>0</v>
      </c>
      <c r="R1139" t="str">
        <f>IF(Q1139=1,COUNTIF($Q$2:$Q1139,1),"")</f>
        <v/>
      </c>
      <c r="S1139" t="str">
        <f>IFERROR(INDEX(ClientInfo[Full Name], MATCH(ROWS($R$2:$R1139),ClientInfo[frequency], 0)),"")</f>
        <v/>
      </c>
    </row>
    <row r="1140" spans="1:19">
      <c r="A1140" t="str">
        <f>TRIM(CONCATENATE(ClientInfo[[#This Row],[First Name]], " ",ClientInfo[[#This Row],[Last Name]]))</f>
        <v>Tom Sheaffer</v>
      </c>
      <c r="B1140" t="s">
        <v>276</v>
      </c>
      <c r="C1140" t="s">
        <v>277</v>
      </c>
      <c r="D1140" t="s">
        <v>278</v>
      </c>
      <c r="H1140" t="s">
        <v>279</v>
      </c>
      <c r="Q1140">
        <f>--ISNUMBER(SEARCH('RC Checklist'!$G$2,A1140))</f>
        <v>0</v>
      </c>
      <c r="R1140" t="str">
        <f>IF(Q1140=1,COUNTIF($Q$2:$Q1140,1),"")</f>
        <v/>
      </c>
      <c r="S1140" t="str">
        <f>IFERROR(INDEX(ClientInfo[Full Name], MATCH(ROWS($R$2:$R1140),ClientInfo[frequency], 0)),"")</f>
        <v/>
      </c>
    </row>
    <row r="1141" spans="1:19">
      <c r="A1141" t="str">
        <f>TRIM(CONCATENATE(ClientInfo[[#This Row],[First Name]], " ",ClientInfo[[#This Row],[Last Name]]))</f>
        <v>Tom yinshaw</v>
      </c>
      <c r="B1141" t="s">
        <v>276</v>
      </c>
      <c r="C1141" t="s">
        <v>1363</v>
      </c>
      <c r="F1141" s="52">
        <v>4439288960</v>
      </c>
      <c r="Q1141">
        <f>--ISNUMBER(SEARCH('RC Checklist'!$G$2,A1141))</f>
        <v>0</v>
      </c>
      <c r="R1141" t="str">
        <f>IF(Q1141=1,COUNTIF($Q$2:$Q1141,1),"")</f>
        <v/>
      </c>
      <c r="S1141" t="str">
        <f>IFERROR(INDEX(ClientInfo[Full Name], MATCH(ROWS($R$2:$R1141),ClientInfo[frequency], 0)),"")</f>
        <v/>
      </c>
    </row>
    <row r="1142" spans="1:19">
      <c r="A1142" t="str">
        <f>TRIM(CONCATENATE(ClientInfo[[#This Row],[First Name]], " ",ClientInfo[[#This Row],[Last Name]]))</f>
        <v>Toni Miller</v>
      </c>
      <c r="B1142" t="s">
        <v>1414</v>
      </c>
      <c r="C1142" t="s">
        <v>1426</v>
      </c>
      <c r="F1142" s="52" t="s">
        <v>2898</v>
      </c>
      <c r="H1142" t="s">
        <v>2899</v>
      </c>
      <c r="Q1142">
        <f>--ISNUMBER(SEARCH('RC Checklist'!$G$2,A1142))</f>
        <v>0</v>
      </c>
      <c r="R1142" t="str">
        <f>IF(Q1142=1,COUNTIF($Q$2:$Q1142,1),"")</f>
        <v/>
      </c>
      <c r="S1142" t="str">
        <f>IFERROR(INDEX(ClientInfo[Full Name], MATCH(ROWS($R$2:$R1142),ClientInfo[frequency], 0)),"")</f>
        <v/>
      </c>
    </row>
    <row r="1143" spans="1:19">
      <c r="A1143" t="str">
        <f>TRIM(CONCATENATE(ClientInfo[[#This Row],[First Name]], " ",ClientInfo[[#This Row],[Last Name]]))</f>
        <v>Toni Saddler</v>
      </c>
      <c r="B1143" t="s">
        <v>1414</v>
      </c>
      <c r="C1143" t="s">
        <v>1415</v>
      </c>
      <c r="D1143" t="s">
        <v>1416</v>
      </c>
      <c r="F1143" s="52" t="s">
        <v>1417</v>
      </c>
      <c r="Q1143">
        <f>--ISNUMBER(SEARCH('RC Checklist'!$G$2,A1143))</f>
        <v>0</v>
      </c>
      <c r="R1143" t="str">
        <f>IF(Q1143=1,COUNTIF($Q$2:$Q1143,1),"")</f>
        <v/>
      </c>
      <c r="S1143" t="str">
        <f>IFERROR(INDEX(ClientInfo[Full Name], MATCH(ROWS($R$2:$R1143),ClientInfo[frequency], 0)),"")</f>
        <v/>
      </c>
    </row>
    <row r="1144" spans="1:19">
      <c r="A1144" t="str">
        <f>TRIM(CONCATENATE(ClientInfo[[#This Row],[First Name]], " ",ClientInfo[[#This Row],[Last Name]]))</f>
        <v>Tonia Bleecher</v>
      </c>
      <c r="B1144" t="s">
        <v>2411</v>
      </c>
      <c r="F1144" s="52">
        <v>2406065434</v>
      </c>
      <c r="Q1144">
        <f>--ISNUMBER(SEARCH('RC Checklist'!$G$2,A1144))</f>
        <v>0</v>
      </c>
      <c r="R1144" t="str">
        <f>IF(Q1144=1,COUNTIF($Q$2:$Q1144,1),"")</f>
        <v/>
      </c>
      <c r="S1144" t="str">
        <f>IFERROR(INDEX(ClientInfo[Full Name], MATCH(ROWS($R$2:$R1144),ClientInfo[frequency], 0)),"")</f>
        <v/>
      </c>
    </row>
    <row r="1145" spans="1:19">
      <c r="A1145" t="str">
        <f>TRIM(CONCATENATE(ClientInfo[[#This Row],[First Name]], " ",ClientInfo[[#This Row],[Last Name]]))</f>
        <v>Tracey &amp; Scott</v>
      </c>
      <c r="B1145" t="s">
        <v>694</v>
      </c>
      <c r="F1145" s="52" t="s">
        <v>695</v>
      </c>
      <c r="Q1145">
        <f>--ISNUMBER(SEARCH('RC Checklist'!$G$2,A1145))</f>
        <v>0</v>
      </c>
      <c r="R1145" t="str">
        <f>IF(Q1145=1,COUNTIF($Q$2:$Q1145,1),"")</f>
        <v/>
      </c>
      <c r="S1145" t="str">
        <f>IFERROR(INDEX(ClientInfo[Full Name], MATCH(ROWS($R$2:$R1145),ClientInfo[frequency], 0)),"")</f>
        <v/>
      </c>
    </row>
    <row r="1146" spans="1:19">
      <c r="A1146" t="str">
        <f>TRIM(CONCATENATE(ClientInfo[[#This Row],[First Name]], " ",ClientInfo[[#This Row],[Last Name]]))</f>
        <v>Tracey Sanchose</v>
      </c>
      <c r="B1146" t="s">
        <v>1045</v>
      </c>
      <c r="C1146" t="s">
        <v>1476</v>
      </c>
      <c r="F1146" s="52">
        <v>14102078677</v>
      </c>
      <c r="Q1146">
        <f>--ISNUMBER(SEARCH('RC Checklist'!$G$2,A1146))</f>
        <v>0</v>
      </c>
      <c r="R1146" t="str">
        <f>IF(Q1146=1,COUNTIF($Q$2:$Q1146,1),"")</f>
        <v/>
      </c>
      <c r="S1146" t="str">
        <f>IFERROR(INDEX(ClientInfo[Full Name], MATCH(ROWS($R$2:$R1146),ClientInfo[frequency], 0)),"")</f>
        <v/>
      </c>
    </row>
    <row r="1147" spans="1:19">
      <c r="A1147" t="str">
        <f>TRIM(CONCATENATE(ClientInfo[[#This Row],[First Name]], " ",ClientInfo[[#This Row],[Last Name]]))</f>
        <v>Tracey Theater</v>
      </c>
      <c r="B1147" t="s">
        <v>1045</v>
      </c>
      <c r="C1147" t="s">
        <v>1046</v>
      </c>
      <c r="Q1147">
        <f>--ISNUMBER(SEARCH('RC Checklist'!$G$2,A1147))</f>
        <v>0</v>
      </c>
      <c r="R1147" t="str">
        <f>IF(Q1147=1,COUNTIF($Q$2:$Q1147,1),"")</f>
        <v/>
      </c>
      <c r="S1147" t="str">
        <f>IFERROR(INDEX(ClientInfo[Full Name], MATCH(ROWS($R$2:$R1147),ClientInfo[frequency], 0)),"")</f>
        <v/>
      </c>
    </row>
    <row r="1148" spans="1:19">
      <c r="A1148" t="str">
        <f>TRIM(CONCATENATE(ClientInfo[[#This Row],[First Name]], " ",ClientInfo[[#This Row],[Last Name]]))</f>
        <v>Tracy</v>
      </c>
      <c r="B1148" t="s">
        <v>1423</v>
      </c>
      <c r="F1148" s="52">
        <v>14439921818</v>
      </c>
      <c r="Q1148">
        <f>--ISNUMBER(SEARCH('RC Checklist'!$G$2,A1148))</f>
        <v>0</v>
      </c>
      <c r="R1148" t="str">
        <f>IF(Q1148=1,COUNTIF($Q$2:$Q1148,1),"")</f>
        <v/>
      </c>
      <c r="S1148" t="str">
        <f>IFERROR(INDEX(ClientInfo[Full Name], MATCH(ROWS($R$2:$R1148),ClientInfo[frequency], 0)),"")</f>
        <v/>
      </c>
    </row>
    <row r="1149" spans="1:19">
      <c r="A1149" t="str">
        <f>TRIM(CONCATENATE(ClientInfo[[#This Row],[First Name]], " ",ClientInfo[[#This Row],[Last Name]]))</f>
        <v>Transportation</v>
      </c>
      <c r="B1149" t="s">
        <v>1359</v>
      </c>
      <c r="D1149" t="s">
        <v>1360</v>
      </c>
      <c r="F1149" s="52">
        <v>7864199643</v>
      </c>
      <c r="H1149" t="s">
        <v>1361</v>
      </c>
      <c r="Q1149">
        <f>--ISNUMBER(SEARCH('RC Checklist'!$G$2,A1149))</f>
        <v>0</v>
      </c>
      <c r="R1149" t="str">
        <f>IF(Q1149=1,COUNTIF($Q$2:$Q1149,1),"")</f>
        <v/>
      </c>
      <c r="S1149" t="str">
        <f>IFERROR(INDEX(ClientInfo[Full Name], MATCH(ROWS($R$2:$R1149),ClientInfo[frequency], 0)),"")</f>
        <v/>
      </c>
    </row>
    <row r="1150" spans="1:19">
      <c r="A1150" t="str">
        <f>TRIM(CONCATENATE(ClientInfo[[#This Row],[First Name]], " ",ClientInfo[[#This Row],[Last Name]]))</f>
        <v>Trent &amp; Rodney Glace</v>
      </c>
      <c r="B1150" t="s">
        <v>540</v>
      </c>
      <c r="C1150" t="s">
        <v>541</v>
      </c>
      <c r="D1150" t="s">
        <v>542</v>
      </c>
      <c r="F1150" s="52" t="s">
        <v>543</v>
      </c>
      <c r="Q1150">
        <f>--ISNUMBER(SEARCH('RC Checklist'!$G$2,A1150))</f>
        <v>0</v>
      </c>
      <c r="R1150" t="str">
        <f>IF(Q1150=1,COUNTIF($Q$2:$Q1150,1),"")</f>
        <v/>
      </c>
      <c r="S1150" t="str">
        <f>IFERROR(INDEX(ClientInfo[Full Name], MATCH(ROWS($R$2:$R1150),ClientInfo[frequency], 0)),"")</f>
        <v/>
      </c>
    </row>
    <row r="1151" spans="1:19">
      <c r="A1151" t="str">
        <f>TRIM(CONCATENATE(ClientInfo[[#This Row],[First Name]], " ",ClientInfo[[#This Row],[Last Name]]))</f>
        <v>Trey &amp; Amy Orta</v>
      </c>
      <c r="B1151" t="s">
        <v>1648</v>
      </c>
      <c r="C1151" t="s">
        <v>1649</v>
      </c>
      <c r="H1151" t="s">
        <v>1650</v>
      </c>
      <c r="O1151" t="s">
        <v>1651</v>
      </c>
      <c r="Q1151">
        <f>--ISNUMBER(SEARCH('RC Checklist'!$G$2,A1151))</f>
        <v>0</v>
      </c>
      <c r="R1151" t="str">
        <f>IF(Q1151=1,COUNTIF($Q$2:$Q1151,1),"")</f>
        <v/>
      </c>
      <c r="S1151" t="str">
        <f>IFERROR(INDEX(ClientInfo[Full Name], MATCH(ROWS($R$2:$R1151),ClientInfo[frequency], 0)),"")</f>
        <v/>
      </c>
    </row>
    <row r="1152" spans="1:19">
      <c r="A1152" t="str">
        <f>TRIM(CONCATENATE(ClientInfo[[#This Row],[First Name]], " ",ClientInfo[[#This Row],[Last Name]]))</f>
        <v>Tricia Purdy</v>
      </c>
      <c r="B1152" t="s">
        <v>1917</v>
      </c>
      <c r="C1152" t="s">
        <v>1918</v>
      </c>
      <c r="F1152" s="52" t="s">
        <v>1919</v>
      </c>
      <c r="G1152" s="52">
        <v>2028412933</v>
      </c>
      <c r="Q1152">
        <f>--ISNUMBER(SEARCH('RC Checklist'!$G$2,A1152))</f>
        <v>0</v>
      </c>
      <c r="R1152" t="str">
        <f>IF(Q1152=1,COUNTIF($Q$2:$Q1152,1),"")</f>
        <v/>
      </c>
      <c r="S1152" t="str">
        <f>IFERROR(INDEX(ClientInfo[Full Name], MATCH(ROWS($R$2:$R1152),ClientInfo[frequency], 0)),"")</f>
        <v/>
      </c>
    </row>
    <row r="1153" spans="1:19">
      <c r="A1153" t="str">
        <f>TRIM(CONCATENATE(ClientInfo[[#This Row],[First Name]], " ",ClientInfo[[#This Row],[Last Name]]))</f>
        <v>Tricia Purdy</v>
      </c>
      <c r="B1153" t="s">
        <v>1917</v>
      </c>
      <c r="C1153" t="s">
        <v>1918</v>
      </c>
      <c r="F1153" s="52">
        <v>12023042676</v>
      </c>
      <c r="Q1153">
        <f>--ISNUMBER(SEARCH('RC Checklist'!$G$2,A1153))</f>
        <v>0</v>
      </c>
      <c r="R1153" t="str">
        <f>IF(Q1153=1,COUNTIF($Q$2:$Q1153,1),"")</f>
        <v/>
      </c>
      <c r="S1153" t="str">
        <f>IFERROR(INDEX(ClientInfo[Full Name], MATCH(ROWS($R$2:$R1153),ClientInfo[frequency], 0)),"")</f>
        <v/>
      </c>
    </row>
    <row r="1154" spans="1:19">
      <c r="A1154" t="str">
        <f>TRIM(CONCATENATE(ClientInfo[[#This Row],[First Name]], " ",ClientInfo[[#This Row],[Last Name]]))</f>
        <v>Trisha &amp; Christopher McRoberts</v>
      </c>
      <c r="B1154" t="s">
        <v>2657</v>
      </c>
      <c r="C1154" t="s">
        <v>2658</v>
      </c>
      <c r="O1154" t="s">
        <v>2659</v>
      </c>
      <c r="Q1154">
        <f>--ISNUMBER(SEARCH('RC Checklist'!$G$2,A1154))</f>
        <v>0</v>
      </c>
      <c r="R1154" t="str">
        <f>IF(Q1154=1,COUNTIF($Q$2:$Q1154,1),"")</f>
        <v/>
      </c>
      <c r="S1154" t="str">
        <f>IFERROR(INDEX(ClientInfo[Full Name], MATCH(ROWS($R$2:$R1154),ClientInfo[frequency], 0)),"")</f>
        <v/>
      </c>
    </row>
    <row r="1155" spans="1:19">
      <c r="A1155" t="str">
        <f>TRIM(CONCATENATE(ClientInfo[[#This Row],[First Name]], " ",ClientInfo[[#This Row],[Last Name]]))</f>
        <v>Trisha. Jeff Davis</v>
      </c>
      <c r="B1155" t="s">
        <v>601</v>
      </c>
      <c r="C1155" t="s">
        <v>602</v>
      </c>
      <c r="F1155" s="52">
        <v>4106276116</v>
      </c>
      <c r="G1155" s="52">
        <v>4103233800243</v>
      </c>
      <c r="Q1155">
        <f>--ISNUMBER(SEARCH('RC Checklist'!$G$2,A1155))</f>
        <v>0</v>
      </c>
      <c r="R1155" t="str">
        <f>IF(Q1155=1,COUNTIF($Q$2:$Q1155,1),"")</f>
        <v/>
      </c>
      <c r="S1155" t="str">
        <f>IFERROR(INDEX(ClientInfo[Full Name], MATCH(ROWS($R$2:$R1155),ClientInfo[frequency], 0)),"")</f>
        <v/>
      </c>
    </row>
    <row r="1156" spans="1:19">
      <c r="A1156" t="str">
        <f>TRIM(CONCATENATE(ClientInfo[[#This Row],[First Name]], " ",ClientInfo[[#This Row],[Last Name]]))</f>
        <v>Trudy</v>
      </c>
      <c r="B1156" t="s">
        <v>633</v>
      </c>
      <c r="F1156" s="52">
        <v>6175138555</v>
      </c>
      <c r="G1156" s="52">
        <v>4109927701</v>
      </c>
      <c r="H1156" t="s">
        <v>634</v>
      </c>
      <c r="Q1156">
        <f>--ISNUMBER(SEARCH('RC Checklist'!$G$2,A1156))</f>
        <v>0</v>
      </c>
      <c r="R1156" t="str">
        <f>IF(Q1156=1,COUNTIF($Q$2:$Q1156,1),"")</f>
        <v/>
      </c>
      <c r="S1156" t="str">
        <f>IFERROR(INDEX(ClientInfo[Full Name], MATCH(ROWS($R$2:$R1156),ClientInfo[frequency], 0)),"")</f>
        <v/>
      </c>
    </row>
    <row r="1157" spans="1:19">
      <c r="A1157" t="str">
        <f>TRIM(CONCATENATE(ClientInfo[[#This Row],[First Name]], " ",ClientInfo[[#This Row],[Last Name]]))</f>
        <v>Trudy Lilly</v>
      </c>
      <c r="B1157" t="s">
        <v>633</v>
      </c>
      <c r="C1157" t="s">
        <v>1590</v>
      </c>
      <c r="F1157" s="52" t="s">
        <v>1591</v>
      </c>
      <c r="Q1157">
        <f>--ISNUMBER(SEARCH('RC Checklist'!$G$2,A1157))</f>
        <v>0</v>
      </c>
      <c r="R1157" t="str">
        <f>IF(Q1157=1,COUNTIF($Q$2:$Q1157,1),"")</f>
        <v/>
      </c>
      <c r="S1157" t="str">
        <f>IFERROR(INDEX(ClientInfo[Full Name], MATCH(ROWS($R$2:$R1157),ClientInfo[frequency], 0)),"")</f>
        <v/>
      </c>
    </row>
    <row r="1158" spans="1:19">
      <c r="A1158" t="str">
        <f>TRIM(CONCATENATE(ClientInfo[[#This Row],[First Name]], " ",ClientInfo[[#This Row],[Last Name]]))</f>
        <v>TW Perry</v>
      </c>
      <c r="B1158" t="s">
        <v>1486</v>
      </c>
      <c r="D1158" t="s">
        <v>1486</v>
      </c>
      <c r="F1158" s="52" t="s">
        <v>1487</v>
      </c>
      <c r="O1158" t="s">
        <v>1488</v>
      </c>
      <c r="Q1158">
        <f>--ISNUMBER(SEARCH('RC Checklist'!$G$2,A1158))</f>
        <v>0</v>
      </c>
      <c r="R1158" t="str">
        <f>IF(Q1158=1,COUNTIF($Q$2:$Q1158,1),"")</f>
        <v/>
      </c>
      <c r="S1158" t="str">
        <f>IFERROR(INDEX(ClientInfo[Full Name], MATCH(ROWS($R$2:$R1158),ClientInfo[frequency], 0)),"")</f>
        <v/>
      </c>
    </row>
    <row r="1159" spans="1:19">
      <c r="A1159" t="str">
        <f>TRIM(CONCATENATE(ClientInfo[[#This Row],[First Name]], " ",ClientInfo[[#This Row],[Last Name]]))</f>
        <v>Tyler</v>
      </c>
      <c r="B1159" t="s">
        <v>1947</v>
      </c>
      <c r="Q1159">
        <f>--ISNUMBER(SEARCH('RC Checklist'!$G$2,A1159))</f>
        <v>0</v>
      </c>
      <c r="R1159" t="str">
        <f>IF(Q1159=1,COUNTIF($Q$2:$Q1159,1),"")</f>
        <v/>
      </c>
      <c r="S1159" t="str">
        <f>IFERROR(INDEX(ClientInfo[Full Name], MATCH(ROWS($R$2:$R1159),ClientInfo[frequency], 0)),"")</f>
        <v/>
      </c>
    </row>
    <row r="1160" spans="1:19">
      <c r="A1160" t="str">
        <f>TRIM(CONCATENATE(ClientInfo[[#This Row],[First Name]], " ",ClientInfo[[#This Row],[Last Name]]))</f>
        <v>Tyrone</v>
      </c>
      <c r="B1160" t="s">
        <v>1357</v>
      </c>
      <c r="F1160" s="52">
        <v>4435645751</v>
      </c>
      <c r="G1160" s="52">
        <v>4105600469</v>
      </c>
      <c r="P1160" t="s">
        <v>1358</v>
      </c>
      <c r="Q1160">
        <f>--ISNUMBER(SEARCH('RC Checklist'!$G$2,A1160))</f>
        <v>0</v>
      </c>
      <c r="R1160" t="str">
        <f>IF(Q1160=1,COUNTIF($Q$2:$Q1160,1),"")</f>
        <v/>
      </c>
      <c r="S1160" t="str">
        <f>IFERROR(INDEX(ClientInfo[Full Name], MATCH(ROWS($R$2:$R1160),ClientInfo[frequency], 0)),"")</f>
        <v/>
      </c>
    </row>
    <row r="1161" spans="1:19">
      <c r="A1161" t="str">
        <f>TRIM(CONCATENATE(ClientInfo[[#This Row],[First Name]], " ",ClientInfo[[#This Row],[Last Name]]))</f>
        <v>Uncle Phill</v>
      </c>
      <c r="B1161" t="s">
        <v>1014</v>
      </c>
      <c r="C1161" t="s">
        <v>1015</v>
      </c>
      <c r="F1161" s="52" t="s">
        <v>1016</v>
      </c>
      <c r="H1161" t="s">
        <v>1017</v>
      </c>
      <c r="O1161" t="s">
        <v>1018</v>
      </c>
      <c r="Q1161">
        <f>--ISNUMBER(SEARCH('RC Checklist'!$G$2,A1161))</f>
        <v>0</v>
      </c>
      <c r="R1161" t="str">
        <f>IF(Q1161=1,COUNTIF($Q$2:$Q1161,1),"")</f>
        <v/>
      </c>
      <c r="S1161" t="str">
        <f>IFERROR(INDEX(ClientInfo[Full Name], MATCH(ROWS($R$2:$R1161),ClientInfo[frequency], 0)),"")</f>
        <v/>
      </c>
    </row>
    <row r="1162" spans="1:19">
      <c r="A1162" t="str">
        <f>TRIM(CONCATENATE(ClientInfo[[#This Row],[First Name]], " ",ClientInfo[[#This Row],[Last Name]]))</f>
        <v>Uncle Ron</v>
      </c>
      <c r="B1162" t="s">
        <v>1014</v>
      </c>
      <c r="C1162" t="s">
        <v>563</v>
      </c>
      <c r="F1162" s="52">
        <v>4109377893</v>
      </c>
      <c r="Q1162">
        <f>--ISNUMBER(SEARCH('RC Checklist'!$G$2,A1162))</f>
        <v>0</v>
      </c>
      <c r="R1162" t="str">
        <f>IF(Q1162=1,COUNTIF($Q$2:$Q1162,1),"")</f>
        <v/>
      </c>
      <c r="S1162" t="str">
        <f>IFERROR(INDEX(ClientInfo[Full Name], MATCH(ROWS($R$2:$R1162),ClientInfo[frequency], 0)),"")</f>
        <v/>
      </c>
    </row>
    <row r="1163" spans="1:19">
      <c r="A1163" t="str">
        <f>TRIM(CONCATENATE(ClientInfo[[#This Row],[First Name]], " ",ClientInfo[[#This Row],[Last Name]]))</f>
        <v>Uncle Scott</v>
      </c>
      <c r="B1163" t="s">
        <v>1014</v>
      </c>
      <c r="C1163" t="s">
        <v>254</v>
      </c>
      <c r="F1163" s="52" t="s">
        <v>2454</v>
      </c>
      <c r="Q1163">
        <f>--ISNUMBER(SEARCH('RC Checklist'!$G$2,A1163))</f>
        <v>0</v>
      </c>
      <c r="R1163" t="str">
        <f>IF(Q1163=1,COUNTIF($Q$2:$Q1163,1),"")</f>
        <v/>
      </c>
      <c r="S1163" t="str">
        <f>IFERROR(INDEX(ClientInfo[Full Name], MATCH(ROWS($R$2:$R1163),ClientInfo[frequency], 0)),"")</f>
        <v/>
      </c>
    </row>
    <row r="1164" spans="1:19">
      <c r="A1164" t="str">
        <f>TRIM(CONCATENATE(ClientInfo[[#This Row],[First Name]], " ",ClientInfo[[#This Row],[Last Name]]))</f>
        <v>UNIVERSAL CARPET DISTRIBUTORS</v>
      </c>
      <c r="B1164" t="s">
        <v>244</v>
      </c>
      <c r="D1164" t="s">
        <v>244</v>
      </c>
      <c r="E1164" t="s">
        <v>245</v>
      </c>
      <c r="F1164" s="52">
        <v>4106867795</v>
      </c>
      <c r="H1164" t="s">
        <v>246</v>
      </c>
      <c r="O1164" t="s">
        <v>247</v>
      </c>
      <c r="Q1164">
        <f>--ISNUMBER(SEARCH('RC Checklist'!$G$2,A1164))</f>
        <v>0</v>
      </c>
      <c r="R1164" t="str">
        <f>IF(Q1164=1,COUNTIF($Q$2:$Q1164,1),"")</f>
        <v/>
      </c>
      <c r="S1164" t="str">
        <f>IFERROR(INDEX(ClientInfo[Full Name], MATCH(ROWS($R$2:$R1164),ClientInfo[frequency], 0)),"")</f>
        <v/>
      </c>
    </row>
    <row r="1165" spans="1:19">
      <c r="A1165" t="str">
        <f>TRIM(CONCATENATE(ClientInfo[[#This Row],[First Name]], " ",ClientInfo[[#This Row],[Last Name]]))</f>
        <v>University Of Md</v>
      </c>
      <c r="B1165" t="s">
        <v>370</v>
      </c>
      <c r="D1165" t="s">
        <v>370</v>
      </c>
      <c r="O1165" t="s">
        <v>371</v>
      </c>
      <c r="P1165" t="s">
        <v>372</v>
      </c>
      <c r="Q1165">
        <f>--ISNUMBER(SEARCH('RC Checklist'!$G$2,A1165))</f>
        <v>0</v>
      </c>
      <c r="R1165" t="str">
        <f>IF(Q1165=1,COUNTIF($Q$2:$Q1165,1),"")</f>
        <v/>
      </c>
      <c r="S1165" t="str">
        <f>IFERROR(INDEX(ClientInfo[Full Name], MATCH(ROWS($R$2:$R1165),ClientInfo[frequency], 0)),"")</f>
        <v/>
      </c>
    </row>
    <row r="1166" spans="1:19">
      <c r="A1166" t="str">
        <f>TRIM(CONCATENATE(ClientInfo[[#This Row],[First Name]], " ",ClientInfo[[#This Row],[Last Name]]))</f>
        <v>Valley Glass Co</v>
      </c>
      <c r="B1166" t="s">
        <v>2491</v>
      </c>
      <c r="D1166" t="s">
        <v>2491</v>
      </c>
      <c r="F1166" s="52" t="s">
        <v>2492</v>
      </c>
      <c r="G1166" s="52" t="s">
        <v>2493</v>
      </c>
      <c r="O1166" t="s">
        <v>2494</v>
      </c>
      <c r="Q1166">
        <f>--ISNUMBER(SEARCH('RC Checklist'!$G$2,A1166))</f>
        <v>0</v>
      </c>
      <c r="R1166" t="str">
        <f>IF(Q1166=1,COUNTIF($Q$2:$Q1166,1),"")</f>
        <v/>
      </c>
      <c r="S1166" t="str">
        <f>IFERROR(INDEX(ClientInfo[Full Name], MATCH(ROWS($R$2:$R1166),ClientInfo[frequency], 0)),"")</f>
        <v/>
      </c>
    </row>
    <row r="1167" spans="1:19">
      <c r="A1167" t="str">
        <f>TRIM(CONCATENATE(ClientInfo[[#This Row],[First Name]], " ",ClientInfo[[#This Row],[Last Name]]))</f>
        <v>Valley Motors</v>
      </c>
      <c r="B1167" t="s">
        <v>666</v>
      </c>
      <c r="C1167" t="s">
        <v>667</v>
      </c>
      <c r="F1167" s="52">
        <v>4106667777</v>
      </c>
      <c r="P1167" t="s">
        <v>668</v>
      </c>
      <c r="Q1167">
        <f>--ISNUMBER(SEARCH('RC Checklist'!$G$2,A1167))</f>
        <v>0</v>
      </c>
      <c r="R1167" t="str">
        <f>IF(Q1167=1,COUNTIF($Q$2:$Q1167,1),"")</f>
        <v/>
      </c>
      <c r="S1167" t="str">
        <f>IFERROR(INDEX(ClientInfo[Full Name], MATCH(ROWS($R$2:$R1167),ClientInfo[frequency], 0)),"")</f>
        <v/>
      </c>
    </row>
    <row r="1168" spans="1:19">
      <c r="A1168" t="str">
        <f>TRIM(CONCATENATE(ClientInfo[[#This Row],[First Name]], " ",ClientInfo[[#This Row],[Last Name]]))</f>
        <v>vantrigtr@fireside.com</v>
      </c>
      <c r="B1168" t="s">
        <v>2479</v>
      </c>
      <c r="H1168" t="s">
        <v>2479</v>
      </c>
      <c r="Q1168">
        <f>--ISNUMBER(SEARCH('RC Checklist'!$G$2,A1168))</f>
        <v>0</v>
      </c>
      <c r="R1168" t="str">
        <f>IF(Q1168=1,COUNTIF($Q$2:$Q1168,1),"")</f>
        <v/>
      </c>
      <c r="S1168" t="str">
        <f>IFERROR(INDEX(ClientInfo[Full Name], MATCH(ROWS($R$2:$R1168),ClientInfo[frequency], 0)),"")</f>
        <v/>
      </c>
    </row>
    <row r="1169" spans="1:19">
      <c r="A1169" t="str">
        <f>TRIM(CONCATENATE(ClientInfo[[#This Row],[First Name]], " ",ClientInfo[[#This Row],[Last Name]]))</f>
        <v>Verizon</v>
      </c>
      <c r="B1169" t="s">
        <v>847</v>
      </c>
      <c r="F1169" s="52">
        <v>18008374966</v>
      </c>
      <c r="P1169" t="s">
        <v>2205</v>
      </c>
      <c r="Q1169">
        <f>--ISNUMBER(SEARCH('RC Checklist'!$G$2,A1169))</f>
        <v>0</v>
      </c>
      <c r="R1169" t="str">
        <f>IF(Q1169=1,COUNTIF($Q$2:$Q1169,1),"")</f>
        <v/>
      </c>
      <c r="S1169" t="str">
        <f>IFERROR(INDEX(ClientInfo[Full Name], MATCH(ROWS($R$2:$R1169),ClientInfo[frequency], 0)),"")</f>
        <v/>
      </c>
    </row>
    <row r="1170" spans="1:19">
      <c r="A1170" t="str">
        <f>TRIM(CONCATENATE(ClientInfo[[#This Row],[First Name]], " ",ClientInfo[[#This Row],[Last Name]]))</f>
        <v>Vic</v>
      </c>
      <c r="B1170" t="s">
        <v>2708</v>
      </c>
      <c r="F1170" s="52">
        <v>14109528771</v>
      </c>
      <c r="P1170" t="s">
        <v>2709</v>
      </c>
      <c r="Q1170">
        <f>--ISNUMBER(SEARCH('RC Checklist'!$G$2,A1170))</f>
        <v>0</v>
      </c>
      <c r="R1170" t="str">
        <f>IF(Q1170=1,COUNTIF($Q$2:$Q1170,1),"")</f>
        <v/>
      </c>
      <c r="S1170" t="str">
        <f>IFERROR(INDEX(ClientInfo[Full Name], MATCH(ROWS($R$2:$R1170),ClientInfo[frequency], 0)),"")</f>
        <v/>
      </c>
    </row>
    <row r="1171" spans="1:19">
      <c r="A1171" t="str">
        <f>TRIM(CONCATENATE(ClientInfo[[#This Row],[First Name]], " ",ClientInfo[[#This Row],[Last Name]]))</f>
        <v>Vicky</v>
      </c>
      <c r="B1171" t="s">
        <v>1606</v>
      </c>
      <c r="F1171" s="52">
        <v>7175866817</v>
      </c>
      <c r="Q1171">
        <f>--ISNUMBER(SEARCH('RC Checklist'!$G$2,A1171))</f>
        <v>0</v>
      </c>
      <c r="R1171" t="str">
        <f>IF(Q1171=1,COUNTIF($Q$2:$Q1171,1),"")</f>
        <v/>
      </c>
      <c r="S1171" t="str">
        <f>IFERROR(INDEX(ClientInfo[Full Name], MATCH(ROWS($R$2:$R1171),ClientInfo[frequency], 0)),"")</f>
        <v/>
      </c>
    </row>
    <row r="1172" spans="1:19">
      <c r="A1172" t="str">
        <f>TRIM(CONCATENATE(ClientInfo[[#This Row],[First Name]], " ",ClientInfo[[#This Row],[Last Name]]))</f>
        <v>Vince Baldwin</v>
      </c>
      <c r="B1172" t="s">
        <v>1763</v>
      </c>
      <c r="C1172" t="s">
        <v>1764</v>
      </c>
      <c r="F1172" s="52" t="s">
        <v>1765</v>
      </c>
      <c r="Q1172">
        <f>--ISNUMBER(SEARCH('RC Checklist'!$G$2,A1172))</f>
        <v>0</v>
      </c>
      <c r="R1172" t="str">
        <f>IF(Q1172=1,COUNTIF($Q$2:$Q1172,1),"")</f>
        <v/>
      </c>
      <c r="S1172" t="str">
        <f>IFERROR(INDEX(ClientInfo[Full Name], MATCH(ROWS($R$2:$R1172),ClientInfo[frequency], 0)),"")</f>
        <v/>
      </c>
    </row>
    <row r="1173" spans="1:19">
      <c r="A1173" t="str">
        <f>TRIM(CONCATENATE(ClientInfo[[#This Row],[First Name]], " ",ClientInfo[[#This Row],[Last Name]]))</f>
        <v>VSC Sprikler</v>
      </c>
      <c r="B1173" t="s">
        <v>1188</v>
      </c>
      <c r="D1173" t="s">
        <v>1188</v>
      </c>
      <c r="F1173" s="52" t="s">
        <v>1189</v>
      </c>
      <c r="Q1173">
        <f>--ISNUMBER(SEARCH('RC Checklist'!$G$2,A1173))</f>
        <v>0</v>
      </c>
      <c r="R1173" t="str">
        <f>IF(Q1173=1,COUNTIF($Q$2:$Q1173,1),"")</f>
        <v/>
      </c>
      <c r="S1173" t="str">
        <f>IFERROR(INDEX(ClientInfo[Full Name], MATCH(ROWS($R$2:$R1173),ClientInfo[frequency], 0)),"")</f>
        <v/>
      </c>
    </row>
    <row r="1174" spans="1:19">
      <c r="A1174" t="str">
        <f>TRIM(CONCATENATE(ClientInfo[[#This Row],[First Name]], " ",ClientInfo[[#This Row],[Last Name]]))</f>
        <v>Walley Guenther</v>
      </c>
      <c r="B1174" t="s">
        <v>2748</v>
      </c>
      <c r="C1174" t="s">
        <v>2749</v>
      </c>
      <c r="F1174" s="52" t="s">
        <v>2750</v>
      </c>
      <c r="Q1174">
        <f>--ISNUMBER(SEARCH('RC Checklist'!$G$2,A1174))</f>
        <v>0</v>
      </c>
      <c r="R1174" t="str">
        <f>IF(Q1174=1,COUNTIF($Q$2:$Q1174,1),"")</f>
        <v/>
      </c>
      <c r="S1174" t="str">
        <f>IFERROR(INDEX(ClientInfo[Full Name], MATCH(ROWS($R$2:$R1174),ClientInfo[frequency], 0)),"")</f>
        <v/>
      </c>
    </row>
    <row r="1175" spans="1:19">
      <c r="A1175" t="str">
        <f>TRIM(CONCATENATE(ClientInfo[[#This Row],[First Name]], " ",ClientInfo[[#This Row],[Last Name]]))</f>
        <v>Walter McGuire</v>
      </c>
      <c r="B1175" t="s">
        <v>2098</v>
      </c>
      <c r="C1175" t="s">
        <v>2144</v>
      </c>
      <c r="D1175" t="s">
        <v>946</v>
      </c>
      <c r="F1175" s="52" t="s">
        <v>2145</v>
      </c>
      <c r="G1175" s="52" t="s">
        <v>2146</v>
      </c>
      <c r="H1175" t="s">
        <v>2147</v>
      </c>
      <c r="O1175" t="s">
        <v>2148</v>
      </c>
      <c r="Q1175">
        <f>--ISNUMBER(SEARCH('RC Checklist'!$G$2,A1175))</f>
        <v>0</v>
      </c>
      <c r="R1175" t="str">
        <f>IF(Q1175=1,COUNTIF($Q$2:$Q1175,1),"")</f>
        <v/>
      </c>
      <c r="S1175" t="str">
        <f>IFERROR(INDEX(ClientInfo[Full Name], MATCH(ROWS($R$2:$R1175),ClientInfo[frequency], 0)),"")</f>
        <v/>
      </c>
    </row>
    <row r="1176" spans="1:19">
      <c r="A1176" t="str">
        <f>TRIM(CONCATENATE(ClientInfo[[#This Row],[First Name]], " ",ClientInfo[[#This Row],[Last Name]]))</f>
        <v>Wanda &amp; Will</v>
      </c>
      <c r="B1176" t="s">
        <v>2517</v>
      </c>
      <c r="D1176" t="s">
        <v>2518</v>
      </c>
      <c r="F1176" s="52" t="s">
        <v>2519</v>
      </c>
      <c r="Q1176">
        <f>--ISNUMBER(SEARCH('RC Checklist'!$G$2,A1176))</f>
        <v>0</v>
      </c>
      <c r="R1176" t="str">
        <f>IF(Q1176=1,COUNTIF($Q$2:$Q1176,1),"")</f>
        <v/>
      </c>
      <c r="S1176" t="str">
        <f>IFERROR(INDEX(ClientInfo[Full Name], MATCH(ROWS($R$2:$R1176),ClientInfo[frequency], 0)),"")</f>
        <v/>
      </c>
    </row>
    <row r="1177" spans="1:19">
      <c r="A1177" t="str">
        <f>TRIM(CONCATENATE(ClientInfo[[#This Row],[First Name]], " ",ClientInfo[[#This Row],[Last Name]]))</f>
        <v>Warranty Repair Guy</v>
      </c>
      <c r="B1177" t="s">
        <v>2119</v>
      </c>
      <c r="F1177" s="52">
        <v>4109358607</v>
      </c>
      <c r="Q1177">
        <f>--ISNUMBER(SEARCH('RC Checklist'!$G$2,A1177))</f>
        <v>0</v>
      </c>
      <c r="R1177" t="str">
        <f>IF(Q1177=1,COUNTIF($Q$2:$Q1177,1),"")</f>
        <v/>
      </c>
      <c r="S1177" t="str">
        <f>IFERROR(INDEX(ClientInfo[Full Name], MATCH(ROWS($R$2:$R1177),ClientInfo[frequency], 0)),"")</f>
        <v/>
      </c>
    </row>
    <row r="1178" spans="1:19">
      <c r="A1178" t="str">
        <f>TRIM(CONCATENATE(ClientInfo[[#This Row],[First Name]], " ",ClientInfo[[#This Row],[Last Name]]))</f>
        <v>Warren &amp; Diana Healey</v>
      </c>
      <c r="B1178" t="s">
        <v>2244</v>
      </c>
      <c r="C1178" t="s">
        <v>2245</v>
      </c>
      <c r="D1178" t="s">
        <v>2246</v>
      </c>
      <c r="F1178" s="52" t="s">
        <v>2248</v>
      </c>
      <c r="G1178" s="52" t="s">
        <v>2247</v>
      </c>
      <c r="O1178" t="s">
        <v>2249</v>
      </c>
      <c r="Q1178">
        <f>--ISNUMBER(SEARCH('RC Checklist'!$G$2,A1178))</f>
        <v>0</v>
      </c>
      <c r="R1178" t="str">
        <f>IF(Q1178=1,COUNTIF($Q$2:$Q1178,1),"")</f>
        <v/>
      </c>
      <c r="S1178" t="str">
        <f>IFERROR(INDEX(ClientInfo[Full Name], MATCH(ROWS($R$2:$R1178),ClientInfo[frequency], 0)),"")</f>
        <v/>
      </c>
    </row>
    <row r="1179" spans="1:19">
      <c r="A1179" t="str">
        <f>TRIM(CONCATENATE(ClientInfo[[#This Row],[First Name]], " ",ClientInfo[[#This Row],[Last Name]]))</f>
        <v>Warren Healey</v>
      </c>
      <c r="B1179" t="s">
        <v>1894</v>
      </c>
      <c r="C1179" t="s">
        <v>2245</v>
      </c>
      <c r="D1179" t="s">
        <v>2370</v>
      </c>
      <c r="F1179" s="52" t="s">
        <v>2248</v>
      </c>
      <c r="O1179" t="s">
        <v>2371</v>
      </c>
      <c r="Q1179">
        <f>--ISNUMBER(SEARCH('RC Checklist'!$G$2,A1179))</f>
        <v>0</v>
      </c>
      <c r="R1179" t="str">
        <f>IF(Q1179=1,COUNTIF($Q$2:$Q1179,1),"")</f>
        <v/>
      </c>
      <c r="S1179" t="str">
        <f>IFERROR(INDEX(ClientInfo[Full Name], MATCH(ROWS($R$2:$R1179),ClientInfo[frequency], 0)),"")</f>
        <v/>
      </c>
    </row>
    <row r="1180" spans="1:19">
      <c r="A1180" t="str">
        <f>TRIM(CONCATENATE(ClientInfo[[#This Row],[First Name]], " ",ClientInfo[[#This Row],[Last Name]]))</f>
        <v>Warren Rolman</v>
      </c>
      <c r="B1180" t="s">
        <v>1894</v>
      </c>
      <c r="C1180" t="s">
        <v>2066</v>
      </c>
      <c r="F1180" s="52">
        <v>4433244262</v>
      </c>
      <c r="Q1180">
        <f>--ISNUMBER(SEARCH('RC Checklist'!$G$2,A1180))</f>
        <v>0</v>
      </c>
      <c r="R1180" t="str">
        <f>IF(Q1180=1,COUNTIF($Q$2:$Q1180,1),"")</f>
        <v/>
      </c>
      <c r="S1180" t="str">
        <f>IFERROR(INDEX(ClientInfo[Full Name], MATCH(ROWS($R$2:$R1180),ClientInfo[frequency], 0)),"")</f>
        <v/>
      </c>
    </row>
    <row r="1181" spans="1:19">
      <c r="A1181" t="str">
        <f>TRIM(CONCATENATE(ClientInfo[[#This Row],[First Name]], " ",ClientInfo[[#This Row],[Last Name]]))</f>
        <v>Wayne Baseman</v>
      </c>
      <c r="B1181" t="s">
        <v>1668</v>
      </c>
      <c r="C1181" t="s">
        <v>2781</v>
      </c>
      <c r="F1181" s="52" t="s">
        <v>2782</v>
      </c>
      <c r="Q1181">
        <f>--ISNUMBER(SEARCH('RC Checklist'!$G$2,A1181))</f>
        <v>0</v>
      </c>
      <c r="R1181" t="str">
        <f>IF(Q1181=1,COUNTIF($Q$2:$Q1181,1),"")</f>
        <v/>
      </c>
      <c r="S1181" t="str">
        <f>IFERROR(INDEX(ClientInfo[Full Name], MATCH(ROWS($R$2:$R1181),ClientInfo[frequency], 0)),"")</f>
        <v/>
      </c>
    </row>
    <row r="1182" spans="1:19">
      <c r="A1182" t="str">
        <f>TRIM(CONCATENATE(ClientInfo[[#This Row],[First Name]], " ",ClientInfo[[#This Row],[Last Name]]))</f>
        <v>Wayne gear</v>
      </c>
      <c r="B1182" t="s">
        <v>1668</v>
      </c>
      <c r="C1182" t="s">
        <v>1669</v>
      </c>
      <c r="F1182" s="52">
        <v>4104461370</v>
      </c>
      <c r="Q1182">
        <f>--ISNUMBER(SEARCH('RC Checklist'!$G$2,A1182))</f>
        <v>0</v>
      </c>
      <c r="R1182" t="str">
        <f>IF(Q1182=1,COUNTIF($Q$2:$Q1182,1),"")</f>
        <v/>
      </c>
      <c r="S1182" t="str">
        <f>IFERROR(INDEX(ClientInfo[Full Name], MATCH(ROWS($R$2:$R1182),ClientInfo[frequency], 0)),"")</f>
        <v/>
      </c>
    </row>
    <row r="1183" spans="1:19">
      <c r="A1183" t="str">
        <f>TRIM(CONCATENATE(ClientInfo[[#This Row],[First Name]], " ",ClientInfo[[#This Row],[Last Name]]))</f>
        <v>Wendy Bonilla</v>
      </c>
      <c r="B1183" t="s">
        <v>2820</v>
      </c>
      <c r="C1183" t="s">
        <v>2821</v>
      </c>
      <c r="E1183" t="s">
        <v>2822</v>
      </c>
      <c r="F1183" s="52">
        <v>4102990924</v>
      </c>
      <c r="H1183" t="s">
        <v>2823</v>
      </c>
      <c r="O1183" t="s">
        <v>2824</v>
      </c>
      <c r="Q1183">
        <f>--ISNUMBER(SEARCH('RC Checklist'!$G$2,A1183))</f>
        <v>0</v>
      </c>
      <c r="R1183" t="str">
        <f>IF(Q1183=1,COUNTIF($Q$2:$Q1183,1),"")</f>
        <v/>
      </c>
      <c r="S1183" t="str">
        <f>IFERROR(INDEX(ClientInfo[Full Name], MATCH(ROWS($R$2:$R1183),ClientInfo[frequency], 0)),"")</f>
        <v/>
      </c>
    </row>
    <row r="1184" spans="1:19">
      <c r="A1184" t="str">
        <f>TRIM(CONCATENATE(ClientInfo[[#This Row],[First Name]], " ",ClientInfo[[#This Row],[Last Name]]))</f>
        <v>Wes</v>
      </c>
      <c r="B1184" t="s">
        <v>1891</v>
      </c>
      <c r="F1184" s="52" t="s">
        <v>1892</v>
      </c>
      <c r="Q1184">
        <f>--ISNUMBER(SEARCH('RC Checklist'!$G$2,A1184))</f>
        <v>0</v>
      </c>
      <c r="R1184" t="str">
        <f>IF(Q1184=1,COUNTIF($Q$2:$Q1184,1),"")</f>
        <v/>
      </c>
      <c r="S1184" t="str">
        <f>IFERROR(INDEX(ClientInfo[Full Name], MATCH(ROWS($R$2:$R1184),ClientInfo[frequency], 0)),"")</f>
        <v/>
      </c>
    </row>
    <row r="1185" spans="1:19">
      <c r="A1185" t="str">
        <f>TRIM(CONCATENATE(ClientInfo[[#This Row],[First Name]], " ",ClientInfo[[#This Row],[Last Name]]))</f>
        <v>Whitcraft Transmission</v>
      </c>
      <c r="B1185" t="s">
        <v>522</v>
      </c>
      <c r="D1185" t="s">
        <v>522</v>
      </c>
      <c r="F1185" s="52" t="s">
        <v>523</v>
      </c>
      <c r="Q1185">
        <f>--ISNUMBER(SEARCH('RC Checklist'!$G$2,A1185))</f>
        <v>0</v>
      </c>
      <c r="R1185" t="str">
        <f>IF(Q1185=1,COUNTIF($Q$2:$Q1185,1),"")</f>
        <v/>
      </c>
      <c r="S1185" t="str">
        <f>IFERROR(INDEX(ClientInfo[Full Name], MATCH(ROWS($R$2:$R1185),ClientInfo[frequency], 0)),"")</f>
        <v/>
      </c>
    </row>
    <row r="1186" spans="1:19">
      <c r="A1186" t="str">
        <f>TRIM(CONCATENATE(ClientInfo[[#This Row],[First Name]], " ",ClientInfo[[#This Row],[Last Name]]))</f>
        <v>White Plumbing</v>
      </c>
      <c r="B1186" t="s">
        <v>44</v>
      </c>
      <c r="C1186" t="s">
        <v>46</v>
      </c>
      <c r="D1186" t="s">
        <v>47</v>
      </c>
      <c r="E1186" t="s">
        <v>48</v>
      </c>
      <c r="F1186" s="52" t="s">
        <v>49</v>
      </c>
      <c r="G1186" s="52" t="s">
        <v>50</v>
      </c>
      <c r="H1186" t="s">
        <v>51</v>
      </c>
      <c r="O1186" t="s">
        <v>52</v>
      </c>
      <c r="Q1186">
        <f>--ISNUMBER(SEARCH('RC Checklist'!$G$2,A1186))</f>
        <v>0</v>
      </c>
      <c r="R1186" t="str">
        <f>IF(Q1186=1,COUNTIF($Q$2:$Q1186,1),"")</f>
        <v/>
      </c>
      <c r="S1186" t="str">
        <f>IFERROR(INDEX(ClientInfo[Full Name], MATCH(ROWS($R$2:$R1186),ClientInfo[frequency], 0)),"")</f>
        <v/>
      </c>
    </row>
    <row r="1187" spans="1:19">
      <c r="A1187" t="str">
        <f>TRIM(CONCATENATE(ClientInfo[[#This Row],[First Name]], " ",ClientInfo[[#This Row],[Last Name]]))</f>
        <v>Wilfredo</v>
      </c>
      <c r="B1187" t="s">
        <v>2364</v>
      </c>
      <c r="D1187" t="s">
        <v>2365</v>
      </c>
      <c r="F1187" s="52" t="s">
        <v>2366</v>
      </c>
      <c r="Q1187">
        <f>--ISNUMBER(SEARCH('RC Checklist'!$G$2,A1187))</f>
        <v>0</v>
      </c>
      <c r="R1187" t="str">
        <f>IF(Q1187=1,COUNTIF($Q$2:$Q1187,1),"")</f>
        <v/>
      </c>
      <c r="S1187" t="str">
        <f>IFERROR(INDEX(ClientInfo[Full Name], MATCH(ROWS($R$2:$R1187),ClientInfo[frequency], 0)),"")</f>
        <v/>
      </c>
    </row>
    <row r="1188" spans="1:19">
      <c r="A1188" t="str">
        <f>TRIM(CONCATENATE(ClientInfo[[#This Row],[First Name]], " ",ClientInfo[[#This Row],[Last Name]]))</f>
        <v>William</v>
      </c>
      <c r="B1188" t="s">
        <v>625</v>
      </c>
      <c r="F1188" s="52" t="s">
        <v>626</v>
      </c>
      <c r="Q1188">
        <f>--ISNUMBER(SEARCH('RC Checklist'!$G$2,A1188))</f>
        <v>0</v>
      </c>
      <c r="R1188" t="str">
        <f>IF(Q1188=1,COUNTIF($Q$2:$Q1188,1),"")</f>
        <v/>
      </c>
      <c r="S1188" t="str">
        <f>IFERROR(INDEX(ClientInfo[Full Name], MATCH(ROWS($R$2:$R1188),ClientInfo[frequency], 0)),"")</f>
        <v/>
      </c>
    </row>
    <row r="1189" spans="1:19">
      <c r="A1189" t="str">
        <f>TRIM(CONCATENATE(ClientInfo[[#This Row],[First Name]], " ",ClientInfo[[#This Row],[Last Name]]))</f>
        <v>William Bullard II Diana L Dempsey-Bullard</v>
      </c>
      <c r="B1189" t="s">
        <v>1854</v>
      </c>
      <c r="C1189" t="s">
        <v>1855</v>
      </c>
      <c r="F1189" s="52">
        <v>4103575957</v>
      </c>
      <c r="O1189" t="s">
        <v>1856</v>
      </c>
      <c r="Q1189">
        <f>--ISNUMBER(SEARCH('RC Checklist'!$G$2,A1189))</f>
        <v>0</v>
      </c>
      <c r="R1189" t="str">
        <f>IF(Q1189=1,COUNTIF($Q$2:$Q1189,1),"")</f>
        <v/>
      </c>
      <c r="S1189" t="str">
        <f>IFERROR(INDEX(ClientInfo[Full Name], MATCH(ROWS($R$2:$R1189),ClientInfo[frequency], 0)),"")</f>
        <v/>
      </c>
    </row>
    <row r="1190" spans="1:19">
      <c r="A1190" t="str">
        <f>TRIM(CONCATENATE(ClientInfo[[#This Row],[First Name]], " ",ClientInfo[[#This Row],[Last Name]]))</f>
        <v>William Pontious</v>
      </c>
      <c r="B1190" t="s">
        <v>625</v>
      </c>
      <c r="C1190" t="s">
        <v>794</v>
      </c>
      <c r="D1190" t="s">
        <v>795</v>
      </c>
      <c r="F1190" s="52" t="s">
        <v>796</v>
      </c>
      <c r="H1190" t="s">
        <v>797</v>
      </c>
      <c r="O1190" t="s">
        <v>798</v>
      </c>
      <c r="Q1190">
        <f>--ISNUMBER(SEARCH('RC Checklist'!$G$2,A1190))</f>
        <v>0</v>
      </c>
      <c r="R1190" t="str">
        <f>IF(Q1190=1,COUNTIF($Q$2:$Q1190,1),"")</f>
        <v/>
      </c>
      <c r="S1190" t="str">
        <f>IFERROR(INDEX(ClientInfo[Full Name], MATCH(ROWS($R$2:$R1190),ClientInfo[frequency], 0)),"")</f>
        <v/>
      </c>
    </row>
    <row r="1191" spans="1:19">
      <c r="A1191" t="str">
        <f>TRIM(CONCATENATE(ClientInfo[[#This Row],[First Name]], " ",ClientInfo[[#This Row],[Last Name]]))</f>
        <v>William Shockey</v>
      </c>
      <c r="B1191" t="s">
        <v>625</v>
      </c>
      <c r="C1191" t="s">
        <v>2487</v>
      </c>
      <c r="D1191" t="s">
        <v>2488</v>
      </c>
      <c r="F1191" s="52">
        <v>4439552466</v>
      </c>
      <c r="H1191" t="s">
        <v>2489</v>
      </c>
      <c r="O1191" t="s">
        <v>2490</v>
      </c>
      <c r="Q1191">
        <f>--ISNUMBER(SEARCH('RC Checklist'!$G$2,A1191))</f>
        <v>0</v>
      </c>
      <c r="R1191" t="str">
        <f>IF(Q1191=1,COUNTIF($Q$2:$Q1191,1),"")</f>
        <v/>
      </c>
      <c r="S1191" t="str">
        <f>IFERROR(INDEX(ClientInfo[Full Name], MATCH(ROWS($R$2:$R1191),ClientInfo[frequency], 0)),"")</f>
        <v/>
      </c>
    </row>
    <row r="1192" spans="1:19">
      <c r="A1192" t="str">
        <f>TRIM(CONCATENATE(ClientInfo[[#This Row],[First Name]], " ",ClientInfo[[#This Row],[Last Name]]))</f>
        <v>Williams Guion</v>
      </c>
      <c r="B1192" t="s">
        <v>405</v>
      </c>
      <c r="C1192" t="s">
        <v>406</v>
      </c>
      <c r="F1192" s="52">
        <v>4104722116</v>
      </c>
      <c r="G1192" s="52">
        <v>4438506223</v>
      </c>
      <c r="Q1192">
        <f>--ISNUMBER(SEARCH('RC Checklist'!$G$2,A1192))</f>
        <v>0</v>
      </c>
      <c r="R1192" t="str">
        <f>IF(Q1192=1,COUNTIF($Q$2:$Q1192,1),"")</f>
        <v/>
      </c>
      <c r="S1192" t="str">
        <f>IFERROR(INDEX(ClientInfo[Full Name], MATCH(ROWS($R$2:$R1192),ClientInfo[frequency], 0)),"")</f>
        <v/>
      </c>
    </row>
    <row r="1193" spans="1:19">
      <c r="A1193" t="str">
        <f>TRIM(CONCATENATE(ClientInfo[[#This Row],[First Name]], " ",ClientInfo[[#This Row],[Last Name]]))</f>
        <v>Wiser Automotive</v>
      </c>
      <c r="B1193" t="s">
        <v>1961</v>
      </c>
      <c r="F1193" s="52">
        <v>4102527215</v>
      </c>
      <c r="G1193" s="52">
        <v>4102524387</v>
      </c>
      <c r="O1193" t="s">
        <v>1962</v>
      </c>
      <c r="Q1193">
        <f>--ISNUMBER(SEARCH('RC Checklist'!$G$2,A1193))</f>
        <v>0</v>
      </c>
      <c r="R1193" t="str">
        <f>IF(Q1193=1,COUNTIF($Q$2:$Q1193,1),"")</f>
        <v/>
      </c>
      <c r="S1193" t="str">
        <f>IFERROR(INDEX(ClientInfo[Full Name], MATCH(ROWS($R$2:$R1193),ClientInfo[frequency], 0)),"")</f>
        <v/>
      </c>
    </row>
    <row r="1194" spans="1:19">
      <c r="A1194" t="str">
        <f>TRIM(CONCATENATE(ClientInfo[[#This Row],[First Name]], " ",ClientInfo[[#This Row],[Last Name]]))</f>
        <v>Woodfire Kitchen</v>
      </c>
      <c r="B1194" t="s">
        <v>1401</v>
      </c>
      <c r="D1194" t="s">
        <v>1401</v>
      </c>
      <c r="F1194" s="52" t="s">
        <v>1402</v>
      </c>
      <c r="Q1194">
        <f>--ISNUMBER(SEARCH('RC Checklist'!$G$2,A1194))</f>
        <v>0</v>
      </c>
      <c r="R1194" t="str">
        <f>IF(Q1194=1,COUNTIF($Q$2:$Q1194,1),"")</f>
        <v/>
      </c>
      <c r="S1194" t="str">
        <f>IFERROR(INDEX(ClientInfo[Full Name], MATCH(ROWS($R$2:$R1194),ClientInfo[frequency], 0)),"")</f>
        <v/>
      </c>
    </row>
    <row r="1195" spans="1:19">
      <c r="A1195" t="str">
        <f>TRIM(CONCATENATE(ClientInfo[[#This Row],[First Name]], " ",ClientInfo[[#This Row],[Last Name]]))</f>
        <v>World Gutter Systems</v>
      </c>
      <c r="B1195" t="s">
        <v>568</v>
      </c>
      <c r="D1195" t="s">
        <v>568</v>
      </c>
      <c r="F1195" s="52" t="s">
        <v>569</v>
      </c>
      <c r="H1195" t="s">
        <v>570</v>
      </c>
      <c r="O1195" t="s">
        <v>571</v>
      </c>
      <c r="Q1195">
        <f>--ISNUMBER(SEARCH('RC Checklist'!$G$2,A1195))</f>
        <v>0</v>
      </c>
      <c r="R1195" t="str">
        <f>IF(Q1195=1,COUNTIF($Q$2:$Q1195,1),"")</f>
        <v/>
      </c>
      <c r="S1195" t="str">
        <f>IFERROR(INDEX(ClientInfo[Full Name], MATCH(ROWS($R$2:$R1195),ClientInfo[frequency], 0)),"")</f>
        <v/>
      </c>
    </row>
    <row r="1196" spans="1:19">
      <c r="A1196" t="str">
        <f>TRIM(CONCATENATE(ClientInfo[[#This Row],[First Name]], " ",ClientInfo[[#This Row],[Last Name]]))</f>
        <v>Yvette Oliver</v>
      </c>
      <c r="B1196" t="s">
        <v>1983</v>
      </c>
      <c r="C1196" t="s">
        <v>766</v>
      </c>
      <c r="F1196" s="52" t="s">
        <v>1984</v>
      </c>
      <c r="G1196" s="52" t="s">
        <v>1985</v>
      </c>
      <c r="H1196" t="s">
        <v>1986</v>
      </c>
      <c r="O1196" t="s">
        <v>1987</v>
      </c>
      <c r="Q1196">
        <f>--ISNUMBER(SEARCH('RC Checklist'!$G$2,A1196))</f>
        <v>0</v>
      </c>
      <c r="R1196" t="str">
        <f>IF(Q1196=1,COUNTIF($Q$2:$Q1196,1),"")</f>
        <v/>
      </c>
      <c r="S1196" t="str">
        <f>IFERROR(INDEX(ClientInfo[Full Name], MATCH(ROWS($R$2:$R1196),ClientInfo[frequency], 0)),"")</f>
        <v/>
      </c>
    </row>
    <row r="1197" spans="1:19">
      <c r="A1197" t="str">
        <f>TRIM(CONCATENATE(ClientInfo[[#This Row],[First Name]], " ",ClientInfo[[#This Row],[Last Name]]))</f>
        <v>Zach Gilden</v>
      </c>
      <c r="B1197" t="s">
        <v>1385</v>
      </c>
      <c r="C1197" t="s">
        <v>1386</v>
      </c>
      <c r="D1197" t="s">
        <v>1387</v>
      </c>
      <c r="P1197" t="s">
        <v>1388</v>
      </c>
      <c r="Q1197">
        <f>--ISNUMBER(SEARCH('RC Checklist'!$G$2,A1197))</f>
        <v>0</v>
      </c>
      <c r="R1197" t="str">
        <f>IF(Q1197=1,COUNTIF($Q$2:$Q1201,1),"")</f>
        <v/>
      </c>
      <c r="S1197" t="str">
        <f>IFERROR(INDEX(ClientInfo[Full Name], MATCH(ROWS($R$2:$R1201),ClientInfo[frequency], 0)),"")</f>
        <v/>
      </c>
    </row>
    <row r="1198" spans="1:19">
      <c r="A1198" s="123" t="str">
        <f>TRIM(CONCATENATE(ClientInfo[[#This Row],[First Name]], " ",ClientInfo[[#This Row],[Last Name]]))</f>
        <v>Test Client</v>
      </c>
      <c r="B1198" t="s">
        <v>3050</v>
      </c>
      <c r="C1198" t="s">
        <v>3051</v>
      </c>
      <c r="F1198" s="52">
        <v>4108675309</v>
      </c>
      <c r="G1198" s="52">
        <v>5879856598</v>
      </c>
      <c r="H1198" s="21" t="s">
        <v>3052</v>
      </c>
      <c r="I1198" t="s">
        <v>3053</v>
      </c>
      <c r="J1198" t="s">
        <v>2990</v>
      </c>
      <c r="K1198" t="s">
        <v>2989</v>
      </c>
      <c r="L1198">
        <v>12345</v>
      </c>
      <c r="M1198" s="132">
        <v>0.3</v>
      </c>
      <c r="P1198" t="s">
        <v>3054</v>
      </c>
      <c r="Q1198" s="123">
        <f>--ISNUMBER(SEARCH('RC Checklist'!$G$2,A1198))</f>
        <v>0</v>
      </c>
      <c r="R1198" t="str">
        <f>IF(Q1198=1,COUNTIF($Q$2:$Q1201,1),"")</f>
        <v/>
      </c>
      <c r="S1198" s="123" t="str">
        <f>IFERROR(INDEX(ClientInfo[Full Name], MATCH(ROWS($R$2:$R1201),ClientInfo[frequency], 0)),"")</f>
        <v/>
      </c>
    </row>
    <row r="1199" spans="1:19">
      <c r="A1199" s="123" t="str">
        <f>TRIM(CONCATENATE(ClientInfo[[#This Row],[First Name]], " ",ClientInfo[[#This Row],[Last Name]]))</f>
        <v>Yosemite Sam</v>
      </c>
      <c r="B1199" t="s">
        <v>3128</v>
      </c>
      <c r="C1199" t="s">
        <v>3129</v>
      </c>
      <c r="D1199" t="s">
        <v>3130</v>
      </c>
      <c r="H1199" s="21"/>
      <c r="I1199" t="s">
        <v>3145</v>
      </c>
      <c r="J1199" t="s">
        <v>2990</v>
      </c>
      <c r="K1199" t="s">
        <v>3103</v>
      </c>
      <c r="L1199">
        <v>15234</v>
      </c>
      <c r="M1199" s="132">
        <v>0.45</v>
      </c>
      <c r="N1199" t="s">
        <v>3134</v>
      </c>
      <c r="O1199" t="str">
        <f>IF(ClientInfo[[#This Row],[Street]]=""," ",TRIM(_xlfn.CONCAT(ClientInfo[[#This Row],[Street]], ", ", ClientInfo[[#This Row],[City]], " ",ClientInfo[[#This Row],[State]], ", ",ClientInfo[[#This Row],[Zip Code]])))</f>
        <v>124 Party Pooper Lane, Parkton PA, 15234</v>
      </c>
      <c r="P1199" t="s">
        <v>3146</v>
      </c>
      <c r="Q1199" s="123">
        <f>--ISNUMBER(SEARCH('RC Checklist'!$G$2,A1199))</f>
        <v>0</v>
      </c>
      <c r="R1199" t="str">
        <f>IF(Q1199=1,COUNTIF($Q$2:$Q1201,1),"")</f>
        <v/>
      </c>
      <c r="S1199" s="123" t="str">
        <f>IFERROR(INDEX(ClientInfo[Full Name], MATCH(ROWS($R$2:$R1201),ClientInfo[frequency], 0)),"")</f>
        <v/>
      </c>
    </row>
    <row r="1200" spans="1:19">
      <c r="A1200" s="123" t="str">
        <f>TRIM(CONCATENATE(ClientInfo[[#This Row],[First Name]], " ",ClientInfo[[#This Row],[Last Name]]))</f>
        <v>Bugs Bunny</v>
      </c>
      <c r="B1200" t="s">
        <v>3131</v>
      </c>
      <c r="C1200" t="s">
        <v>3132</v>
      </c>
      <c r="D1200" t="s">
        <v>3130</v>
      </c>
      <c r="H1200" s="21"/>
      <c r="I1200" t="s">
        <v>3138</v>
      </c>
      <c r="J1200" t="s">
        <v>3139</v>
      </c>
      <c r="K1200" t="s">
        <v>2989</v>
      </c>
      <c r="L1200">
        <v>21154</v>
      </c>
      <c r="M1200" s="132">
        <v>0.38</v>
      </c>
      <c r="N1200" t="s">
        <v>3121</v>
      </c>
      <c r="O1200" t="str">
        <f>IF(ClientInfo[[#This Row],[Street]]=""," ",TRIM(_xlfn.CONCAT(ClientInfo[[#This Row],[Street]], ", ", ClientInfo[[#This Row],[City]], " ",ClientInfo[[#This Row],[State]], ", ",ClientInfo[[#This Row],[Zip Code]])))</f>
        <v>1 Hole Circle, Middleton MD, 21154</v>
      </c>
      <c r="P1200" t="s">
        <v>3143</v>
      </c>
      <c r="Q1200" s="123">
        <f>--ISNUMBER(SEARCH('RC Checklist'!$G$2,A1200))</f>
        <v>0</v>
      </c>
      <c r="R1200" t="str">
        <f>IF(Q1200=1,COUNTIF($Q$2:$Q1201,1),"")</f>
        <v/>
      </c>
      <c r="S1200" s="123" t="str">
        <f>IFERROR(INDEX(ClientInfo[Full Name], MATCH(ROWS($R$2:$R1201),ClientInfo[frequency], 0)),"")</f>
        <v/>
      </c>
    </row>
    <row r="1201" spans="1:19">
      <c r="A1201" s="123" t="str">
        <f>TRIM(CONCATENATE(ClientInfo[[#This Row],[First Name]], " ",ClientInfo[[#This Row],[Last Name]]))</f>
        <v>Tazmanian Devil</v>
      </c>
      <c r="B1201" t="s">
        <v>3135</v>
      </c>
      <c r="C1201" t="s">
        <v>3136</v>
      </c>
      <c r="D1201" t="s">
        <v>3130</v>
      </c>
      <c r="H1201" s="21"/>
      <c r="I1201" t="s">
        <v>3137</v>
      </c>
      <c r="J1201" t="s">
        <v>3006</v>
      </c>
      <c r="K1201" t="s">
        <v>2989</v>
      </c>
      <c r="L1201">
        <v>21234</v>
      </c>
      <c r="M1201" s="132">
        <v>0.12</v>
      </c>
      <c r="N1201" t="s">
        <v>3134</v>
      </c>
      <c r="O1201" t="str">
        <f>IF(ClientInfo[[#This Row],[Street]]=""," ",TRIM(_xlfn.CONCAT(ClientInfo[[#This Row],[Street]], ", ", ClientInfo[[#This Row],[City]], " ",ClientInfo[[#This Row],[State]], ", ",ClientInfo[[#This Row],[Zip Code]])))</f>
        <v>13 Spinny Street, Parkville MD, 21234</v>
      </c>
      <c r="P1201" t="s">
        <v>3144</v>
      </c>
      <c r="Q1201" s="123">
        <f>--ISNUMBER(SEARCH('RC Checklist'!$G$2,A1201))</f>
        <v>0</v>
      </c>
      <c r="R1201" t="str">
        <f>IF(Q1201=1,COUNTIF($Q$2:$Q1201,1),"")</f>
        <v/>
      </c>
      <c r="S1201" s="123" t="str">
        <f>IFERROR(INDEX(ClientInfo[Full Name], MATCH(ROWS($R$2:$R1201),ClientInfo[frequency], 0)),"")</f>
        <v/>
      </c>
    </row>
  </sheetData>
  <hyperlinks>
    <hyperlink ref="H2" r:id="rId1" xr:uid="{8E98990C-6F6F-4A49-AE3C-DA8653B6D289}"/>
    <hyperlink ref="H648" r:id="rId2" xr:uid="{FABAD3DE-7C9F-4AF3-AF01-AE0F1F4113AE}"/>
    <hyperlink ref="H240" r:id="rId3" xr:uid="{3D2F26AF-1CB3-4C8F-905E-5730DE7ABAC7}"/>
    <hyperlink ref="H1198" r:id="rId4" xr:uid="{853EC05F-80FD-411D-8A70-DB1B2B3F8346}"/>
  </hyperlinks>
  <pageMargins left="0.511811024" right="0.511811024" top="0.78740157499999996" bottom="0.78740157499999996" header="0.31496062000000002" footer="0.31496062000000002"/>
  <drawing r:id="rId5"/>
  <legacyDrawing r:id="rId6"/>
  <controls>
    <mc:AlternateContent xmlns:mc="http://schemas.openxmlformats.org/markup-compatibility/2006">
      <mc:Choice Requires="x14">
        <control shapeId="3073" r:id="rId7" name="ComboBox1">
          <controlPr defaultSize="0" autoLine="0" linkedCell="G2" listFillRange="'Client Info'!S2:S41" r:id="rId8">
            <anchor moveWithCells="1">
              <from>
                <xdr:col>21</xdr:col>
                <xdr:colOff>219075</xdr:colOff>
                <xdr:row>2</xdr:row>
                <xdr:rowOff>114300</xdr:rowOff>
              </from>
              <to>
                <xdr:col>24</xdr:col>
                <xdr:colOff>85725</xdr:colOff>
                <xdr:row>3</xdr:row>
                <xdr:rowOff>123825</xdr:rowOff>
              </to>
            </anchor>
          </controlPr>
        </control>
      </mc:Choice>
      <mc:Fallback>
        <control shapeId="3073" r:id="rId7" name="ComboBox1"/>
      </mc:Fallback>
    </mc:AlternateContent>
  </controls>
  <tableParts count="1">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605D5-2FED-4002-968B-4971EC0D9504}">
  <sheetPr codeName="Sheet4"/>
  <dimension ref="A1:H99"/>
  <sheetViews>
    <sheetView workbookViewId="0">
      <selection activeCell="C2" sqref="C2"/>
    </sheetView>
  </sheetViews>
  <sheetFormatPr defaultRowHeight="15"/>
  <cols>
    <col min="1" max="1" width="12.5703125" bestFit="1" customWidth="1"/>
    <col min="2" max="2" width="11" customWidth="1"/>
    <col min="3" max="3" width="20" bestFit="1" customWidth="1"/>
    <col min="5" max="5" width="12" bestFit="1" customWidth="1"/>
    <col min="6" max="6" width="10.140625" bestFit="1" customWidth="1"/>
    <col min="7" max="7" width="12" bestFit="1" customWidth="1"/>
    <col min="8" max="8" width="15.140625" bestFit="1" customWidth="1"/>
  </cols>
  <sheetData>
    <row r="1" spans="1:8">
      <c r="A1">
        <v>1</v>
      </c>
      <c r="C1" t="s">
        <v>3170</v>
      </c>
      <c r="E1" s="135" t="s">
        <v>2987</v>
      </c>
      <c r="F1" s="135" t="s">
        <v>3061</v>
      </c>
      <c r="G1" s="136" t="s">
        <v>3062</v>
      </c>
      <c r="H1" s="135" t="s">
        <v>3063</v>
      </c>
    </row>
    <row r="2" spans="1:8">
      <c r="A2">
        <v>2</v>
      </c>
      <c r="C2" t="s">
        <v>0</v>
      </c>
      <c r="E2" s="135" t="s">
        <v>3064</v>
      </c>
      <c r="F2">
        <v>5</v>
      </c>
      <c r="G2" s="137">
        <v>0</v>
      </c>
      <c r="H2" s="135" t="s">
        <v>3065</v>
      </c>
    </row>
    <row r="3" spans="1:8">
      <c r="A3">
        <v>3</v>
      </c>
      <c r="C3" t="s">
        <v>17</v>
      </c>
      <c r="E3" s="135" t="s">
        <v>3066</v>
      </c>
      <c r="F3">
        <v>3</v>
      </c>
      <c r="G3" s="137">
        <v>0.04</v>
      </c>
      <c r="H3" s="135" t="s">
        <v>3067</v>
      </c>
    </row>
    <row r="4" spans="1:8">
      <c r="A4">
        <v>4</v>
      </c>
      <c r="C4" t="s">
        <v>2921</v>
      </c>
      <c r="E4" s="135" t="s">
        <v>3068</v>
      </c>
      <c r="F4">
        <v>4</v>
      </c>
      <c r="G4" s="137">
        <v>6.5000000000000002E-2</v>
      </c>
      <c r="H4" s="135" t="s">
        <v>3065</v>
      </c>
    </row>
    <row r="5" spans="1:8">
      <c r="A5">
        <v>5</v>
      </c>
      <c r="C5" t="s">
        <v>3149</v>
      </c>
      <c r="E5" s="135" t="s">
        <v>3069</v>
      </c>
      <c r="F5">
        <v>5</v>
      </c>
      <c r="G5" s="137">
        <v>5.6000000000000001E-2</v>
      </c>
      <c r="H5" s="135" t="s">
        <v>3065</v>
      </c>
    </row>
    <row r="6" spans="1:8">
      <c r="A6">
        <v>6</v>
      </c>
      <c r="C6" t="s">
        <v>3150</v>
      </c>
      <c r="E6" s="135" t="s">
        <v>3070</v>
      </c>
      <c r="F6">
        <v>5</v>
      </c>
      <c r="G6" s="137">
        <v>7.2499999999999995E-2</v>
      </c>
      <c r="H6" s="135" t="s">
        <v>3065</v>
      </c>
    </row>
    <row r="7" spans="1:8">
      <c r="A7">
        <v>7</v>
      </c>
      <c r="C7" t="s">
        <v>3151</v>
      </c>
      <c r="E7" s="135" t="s">
        <v>3071</v>
      </c>
      <c r="F7">
        <v>5</v>
      </c>
      <c r="G7" s="137">
        <v>2.9000000000000001E-2</v>
      </c>
      <c r="H7" s="135" t="s">
        <v>3065</v>
      </c>
    </row>
    <row r="8" spans="1:8">
      <c r="A8">
        <v>8</v>
      </c>
      <c r="C8" t="s">
        <v>3152</v>
      </c>
      <c r="E8" s="135" t="s">
        <v>3072</v>
      </c>
      <c r="F8">
        <v>2</v>
      </c>
      <c r="G8" s="137">
        <v>6.3500000000000001E-2</v>
      </c>
      <c r="H8" s="135" t="s">
        <v>3065</v>
      </c>
    </row>
    <row r="9" spans="1:8">
      <c r="A9">
        <v>9</v>
      </c>
      <c r="C9" t="s">
        <v>3153</v>
      </c>
      <c r="E9" s="135" t="s">
        <v>3073</v>
      </c>
      <c r="F9">
        <v>1</v>
      </c>
      <c r="G9" s="137">
        <v>5.7500000000000002E-2</v>
      </c>
      <c r="H9" s="135" t="s">
        <v>3065</v>
      </c>
    </row>
    <row r="10" spans="1:8">
      <c r="A10">
        <v>10</v>
      </c>
      <c r="C10" t="s">
        <v>3154</v>
      </c>
      <c r="E10" s="135" t="s">
        <v>3074</v>
      </c>
      <c r="F10">
        <v>1</v>
      </c>
      <c r="G10" s="137">
        <v>0</v>
      </c>
      <c r="H10" s="135" t="s">
        <v>3067</v>
      </c>
    </row>
    <row r="11" spans="1:8">
      <c r="A11">
        <v>11</v>
      </c>
      <c r="C11" t="s">
        <v>3155</v>
      </c>
      <c r="E11" s="135" t="s">
        <v>3075</v>
      </c>
      <c r="F11">
        <v>3</v>
      </c>
      <c r="G11" s="137">
        <v>0.06</v>
      </c>
      <c r="H11" s="135" t="s">
        <v>3067</v>
      </c>
    </row>
    <row r="12" spans="1:8">
      <c r="A12">
        <v>12</v>
      </c>
      <c r="C12" t="s">
        <v>3156</v>
      </c>
      <c r="E12" s="135" t="s">
        <v>3076</v>
      </c>
      <c r="F12">
        <v>3</v>
      </c>
      <c r="G12" s="137">
        <v>0.04</v>
      </c>
      <c r="H12" s="135" t="s">
        <v>3067</v>
      </c>
    </row>
    <row r="13" spans="1:8">
      <c r="A13">
        <v>13</v>
      </c>
      <c r="C13" t="s">
        <v>3157</v>
      </c>
      <c r="E13" s="135" t="s">
        <v>3077</v>
      </c>
      <c r="F13">
        <v>5</v>
      </c>
      <c r="G13" s="137">
        <v>0.04</v>
      </c>
      <c r="H13" s="135" t="s">
        <v>3065</v>
      </c>
    </row>
    <row r="14" spans="1:8">
      <c r="A14">
        <v>14</v>
      </c>
      <c r="C14" t="s">
        <v>3158</v>
      </c>
      <c r="E14" s="135" t="s">
        <v>3078</v>
      </c>
      <c r="F14">
        <v>4</v>
      </c>
      <c r="G14" s="137">
        <v>0.06</v>
      </c>
      <c r="H14" s="135" t="s">
        <v>3065</v>
      </c>
    </row>
    <row r="15" spans="1:8">
      <c r="A15">
        <v>15</v>
      </c>
      <c r="C15" t="s">
        <v>3159</v>
      </c>
      <c r="E15" s="135" t="s">
        <v>3079</v>
      </c>
      <c r="F15">
        <v>5</v>
      </c>
      <c r="G15" s="137">
        <v>0.06</v>
      </c>
      <c r="H15" s="135" t="s">
        <v>3065</v>
      </c>
    </row>
    <row r="16" spans="1:8">
      <c r="A16">
        <v>16</v>
      </c>
      <c r="C16" t="s">
        <v>3160</v>
      </c>
      <c r="E16" s="135" t="s">
        <v>3080</v>
      </c>
      <c r="F16">
        <v>3</v>
      </c>
      <c r="G16" s="137">
        <v>6.25E-2</v>
      </c>
      <c r="H16" s="135" t="s">
        <v>3065</v>
      </c>
    </row>
    <row r="17" spans="1:8">
      <c r="A17">
        <v>17</v>
      </c>
      <c r="C17" t="s">
        <v>3161</v>
      </c>
      <c r="E17" s="135" t="s">
        <v>3081</v>
      </c>
      <c r="F17">
        <v>2</v>
      </c>
      <c r="G17" s="137">
        <v>7.0000000000000007E-2</v>
      </c>
      <c r="H17" s="135" t="s">
        <v>3065</v>
      </c>
    </row>
    <row r="18" spans="1:8">
      <c r="A18">
        <v>18</v>
      </c>
      <c r="C18" t="s">
        <v>3162</v>
      </c>
      <c r="E18" s="135" t="s">
        <v>3082</v>
      </c>
      <c r="F18">
        <v>4</v>
      </c>
      <c r="G18" s="137">
        <v>6.5000000000000002E-2</v>
      </c>
      <c r="H18" s="135" t="s">
        <v>3065</v>
      </c>
    </row>
    <row r="19" spans="1:8">
      <c r="A19">
        <v>19</v>
      </c>
      <c r="C19" t="s">
        <v>3163</v>
      </c>
      <c r="E19" s="135" t="s">
        <v>3083</v>
      </c>
      <c r="F19">
        <v>2</v>
      </c>
      <c r="G19" s="137">
        <v>0.06</v>
      </c>
      <c r="H19" s="135" t="s">
        <v>3065</v>
      </c>
    </row>
    <row r="20" spans="1:8">
      <c r="A20">
        <v>20</v>
      </c>
      <c r="C20" t="s">
        <v>3164</v>
      </c>
      <c r="E20" s="135" t="s">
        <v>3084</v>
      </c>
      <c r="F20">
        <v>4</v>
      </c>
      <c r="G20" s="137">
        <v>0.05</v>
      </c>
      <c r="H20" s="135" t="s">
        <v>3067</v>
      </c>
    </row>
    <row r="21" spans="1:8">
      <c r="A21">
        <v>21</v>
      </c>
      <c r="C21" t="s">
        <v>3165</v>
      </c>
      <c r="E21" s="135" t="s">
        <v>3085</v>
      </c>
      <c r="F21">
        <v>2</v>
      </c>
      <c r="G21" s="137">
        <v>5.5E-2</v>
      </c>
      <c r="H21" s="135" t="s">
        <v>3065</v>
      </c>
    </row>
    <row r="22" spans="1:8">
      <c r="A22">
        <v>22</v>
      </c>
      <c r="C22" t="s">
        <v>3166</v>
      </c>
      <c r="E22" s="135" t="s">
        <v>2989</v>
      </c>
      <c r="F22">
        <v>1</v>
      </c>
      <c r="G22" s="137">
        <v>0.06</v>
      </c>
      <c r="H22" s="135" t="s">
        <v>3065</v>
      </c>
    </row>
    <row r="23" spans="1:8">
      <c r="A23">
        <v>23</v>
      </c>
      <c r="C23" t="s">
        <v>3167</v>
      </c>
      <c r="E23" s="135" t="s">
        <v>3086</v>
      </c>
      <c r="F23">
        <v>3</v>
      </c>
      <c r="G23" s="137">
        <v>5.5E-2</v>
      </c>
      <c r="H23" s="135" t="s">
        <v>3065</v>
      </c>
    </row>
    <row r="24" spans="1:8">
      <c r="A24">
        <v>24</v>
      </c>
      <c r="C24" t="s">
        <v>3168</v>
      </c>
      <c r="E24" s="135" t="s">
        <v>3087</v>
      </c>
      <c r="F24">
        <v>2</v>
      </c>
      <c r="G24" s="137">
        <v>0.06</v>
      </c>
      <c r="H24" s="135" t="s">
        <v>3065</v>
      </c>
    </row>
    <row r="25" spans="1:8">
      <c r="A25">
        <v>25</v>
      </c>
      <c r="C25" t="s">
        <v>3169</v>
      </c>
      <c r="E25" s="135" t="s">
        <v>3088</v>
      </c>
      <c r="F25">
        <v>4</v>
      </c>
      <c r="G25" s="137">
        <v>6.8750000000000006E-2</v>
      </c>
      <c r="H25" s="135" t="s">
        <v>3065</v>
      </c>
    </row>
    <row r="26" spans="1:8">
      <c r="A26">
        <v>26</v>
      </c>
      <c r="E26" s="135" t="s">
        <v>3089</v>
      </c>
      <c r="F26">
        <v>4</v>
      </c>
      <c r="G26" s="137">
        <v>4.2250000000000003E-2</v>
      </c>
      <c r="H26" s="135" t="s">
        <v>3065</v>
      </c>
    </row>
    <row r="27" spans="1:8">
      <c r="A27">
        <v>27</v>
      </c>
      <c r="E27" s="135" t="s">
        <v>3090</v>
      </c>
      <c r="F27">
        <v>3</v>
      </c>
      <c r="G27" s="137">
        <v>7.0000000000000007E-2</v>
      </c>
      <c r="H27" s="135" t="s">
        <v>3065</v>
      </c>
    </row>
    <row r="28" spans="1:8">
      <c r="A28">
        <v>28</v>
      </c>
      <c r="E28" s="135" t="s">
        <v>3091</v>
      </c>
      <c r="F28">
        <v>5</v>
      </c>
      <c r="G28" s="137">
        <v>0</v>
      </c>
      <c r="H28" s="135" t="s">
        <v>3065</v>
      </c>
    </row>
    <row r="29" spans="1:8">
      <c r="A29">
        <v>29</v>
      </c>
      <c r="E29" s="135" t="s">
        <v>3092</v>
      </c>
      <c r="F29">
        <v>2</v>
      </c>
      <c r="G29" s="137">
        <v>4.7500000000000001E-2</v>
      </c>
      <c r="H29" s="135" t="s">
        <v>3067</v>
      </c>
    </row>
    <row r="30" spans="1:8">
      <c r="A30">
        <v>30</v>
      </c>
      <c r="E30" s="135" t="s">
        <v>3093</v>
      </c>
      <c r="F30">
        <v>4</v>
      </c>
      <c r="G30" s="137">
        <v>4.7500000000000001E-2</v>
      </c>
      <c r="H30" s="135" t="s">
        <v>3065</v>
      </c>
    </row>
    <row r="31" spans="1:8">
      <c r="A31">
        <v>31</v>
      </c>
      <c r="E31" s="135" t="s">
        <v>3094</v>
      </c>
      <c r="F31">
        <v>4</v>
      </c>
      <c r="G31" s="137">
        <v>5.5E-2</v>
      </c>
      <c r="H31" s="135" t="s">
        <v>3065</v>
      </c>
    </row>
    <row r="32" spans="1:8">
      <c r="A32">
        <v>32</v>
      </c>
      <c r="E32" s="135" t="s">
        <v>3095</v>
      </c>
      <c r="F32">
        <v>3</v>
      </c>
      <c r="G32" s="137">
        <v>0</v>
      </c>
      <c r="H32" s="135" t="s">
        <v>3065</v>
      </c>
    </row>
    <row r="33" spans="1:8">
      <c r="A33">
        <v>33</v>
      </c>
      <c r="E33" s="135" t="s">
        <v>3096</v>
      </c>
      <c r="F33">
        <v>1</v>
      </c>
      <c r="G33" s="137">
        <v>6.8750000000000006E-2</v>
      </c>
      <c r="H33" s="135" t="s">
        <v>3065</v>
      </c>
    </row>
    <row r="34" spans="1:8">
      <c r="A34">
        <v>34</v>
      </c>
      <c r="E34" s="135" t="s">
        <v>3097</v>
      </c>
      <c r="F34">
        <v>5</v>
      </c>
      <c r="G34" s="137">
        <v>5.1249999999999997E-2</v>
      </c>
      <c r="H34" s="135" t="s">
        <v>3065</v>
      </c>
    </row>
    <row r="35" spans="1:8">
      <c r="A35">
        <v>35</v>
      </c>
      <c r="E35" s="135" t="s">
        <v>3098</v>
      </c>
      <c r="F35">
        <v>5</v>
      </c>
      <c r="G35" s="137">
        <v>6.8500000000000005E-2</v>
      </c>
      <c r="H35" s="135" t="s">
        <v>3065</v>
      </c>
    </row>
    <row r="36" spans="1:8">
      <c r="A36">
        <v>36</v>
      </c>
      <c r="E36" s="135" t="s">
        <v>3099</v>
      </c>
      <c r="F36">
        <v>1</v>
      </c>
      <c r="G36" s="137">
        <v>0.04</v>
      </c>
      <c r="H36" s="135" t="s">
        <v>3067</v>
      </c>
    </row>
    <row r="37" spans="1:8">
      <c r="A37">
        <v>37</v>
      </c>
      <c r="E37" s="135" t="s">
        <v>3100</v>
      </c>
      <c r="F37">
        <v>2</v>
      </c>
      <c r="G37" s="137">
        <v>5.7500000000000002E-2</v>
      </c>
      <c r="H37" s="135" t="s">
        <v>3065</v>
      </c>
    </row>
    <row r="38" spans="1:8">
      <c r="A38">
        <v>38</v>
      </c>
      <c r="E38" s="135" t="s">
        <v>3101</v>
      </c>
      <c r="F38">
        <v>4</v>
      </c>
      <c r="G38" s="137">
        <v>4.4999999999999998E-2</v>
      </c>
      <c r="H38" s="135" t="s">
        <v>3065</v>
      </c>
    </row>
    <row r="39" spans="1:8">
      <c r="A39">
        <v>39</v>
      </c>
      <c r="E39" s="135" t="s">
        <v>3102</v>
      </c>
      <c r="F39">
        <v>5</v>
      </c>
      <c r="G39" s="137">
        <v>0</v>
      </c>
      <c r="H39" s="135" t="s">
        <v>3065</v>
      </c>
    </row>
    <row r="40" spans="1:8">
      <c r="A40">
        <v>40</v>
      </c>
      <c r="E40" s="135" t="s">
        <v>3103</v>
      </c>
      <c r="F40">
        <v>1</v>
      </c>
      <c r="G40" s="137">
        <v>0.06</v>
      </c>
      <c r="H40" s="135" t="s">
        <v>3067</v>
      </c>
    </row>
    <row r="41" spans="1:8">
      <c r="A41">
        <v>41</v>
      </c>
      <c r="E41" s="135" t="s">
        <v>3104</v>
      </c>
      <c r="F41">
        <v>1</v>
      </c>
      <c r="G41" s="137">
        <v>7.0000000000000007E-2</v>
      </c>
      <c r="H41" s="135" t="s">
        <v>3065</v>
      </c>
    </row>
    <row r="42" spans="1:8">
      <c r="A42">
        <v>42</v>
      </c>
      <c r="E42" s="135" t="s">
        <v>3105</v>
      </c>
      <c r="F42">
        <v>3</v>
      </c>
      <c r="G42" s="137">
        <v>0.06</v>
      </c>
      <c r="H42" s="135" t="s">
        <v>3067</v>
      </c>
    </row>
    <row r="43" spans="1:8">
      <c r="A43">
        <v>43</v>
      </c>
      <c r="E43" s="135" t="s">
        <v>3106</v>
      </c>
      <c r="F43">
        <v>4</v>
      </c>
      <c r="G43" s="137">
        <v>4.4999999999999998E-2</v>
      </c>
      <c r="H43" s="135" t="s">
        <v>3065</v>
      </c>
    </row>
    <row r="44" spans="1:8">
      <c r="A44">
        <v>44</v>
      </c>
      <c r="E44" s="135" t="s">
        <v>3107</v>
      </c>
      <c r="F44">
        <v>2</v>
      </c>
      <c r="G44" s="137">
        <v>7.0000000000000007E-2</v>
      </c>
      <c r="H44" s="135" t="s">
        <v>3067</v>
      </c>
    </row>
    <row r="45" spans="1:8">
      <c r="A45">
        <v>45</v>
      </c>
      <c r="E45" s="135" t="s">
        <v>3108</v>
      </c>
      <c r="F45">
        <v>4</v>
      </c>
      <c r="G45" s="137">
        <v>6.25E-2</v>
      </c>
      <c r="H45" s="135" t="s">
        <v>3067</v>
      </c>
    </row>
    <row r="46" spans="1:8">
      <c r="A46">
        <v>46</v>
      </c>
      <c r="E46" s="135" t="s">
        <v>3109</v>
      </c>
      <c r="F46">
        <v>5</v>
      </c>
      <c r="G46" s="137">
        <v>5.9499999999999997E-2</v>
      </c>
      <c r="H46" s="135" t="s">
        <v>3065</v>
      </c>
    </row>
    <row r="47" spans="1:8">
      <c r="A47">
        <v>47</v>
      </c>
      <c r="E47" s="135" t="s">
        <v>3110</v>
      </c>
      <c r="F47">
        <v>2</v>
      </c>
      <c r="G47" s="137">
        <v>5.2999999999999999E-2</v>
      </c>
      <c r="H47" s="135" t="s">
        <v>3067</v>
      </c>
    </row>
    <row r="48" spans="1:8">
      <c r="A48">
        <v>48</v>
      </c>
      <c r="E48" s="135" t="s">
        <v>3111</v>
      </c>
      <c r="F48">
        <v>2</v>
      </c>
      <c r="G48" s="137">
        <v>0.06</v>
      </c>
      <c r="H48" s="135" t="s">
        <v>3065</v>
      </c>
    </row>
    <row r="49" spans="1:8">
      <c r="A49">
        <v>49</v>
      </c>
      <c r="E49" s="135" t="s">
        <v>3112</v>
      </c>
      <c r="F49">
        <v>5</v>
      </c>
      <c r="G49" s="137">
        <v>6.5000000000000002E-2</v>
      </c>
      <c r="H49" s="135" t="s">
        <v>3065</v>
      </c>
    </row>
    <row r="50" spans="1:8">
      <c r="A50">
        <v>50</v>
      </c>
      <c r="E50" s="135" t="s">
        <v>3113</v>
      </c>
      <c r="F50">
        <v>3</v>
      </c>
      <c r="G50" s="137">
        <v>0.05</v>
      </c>
      <c r="H50" s="135" t="s">
        <v>3065</v>
      </c>
    </row>
    <row r="51" spans="1:8">
      <c r="A51">
        <v>51</v>
      </c>
      <c r="E51" s="135" t="s">
        <v>3114</v>
      </c>
      <c r="F51">
        <v>2</v>
      </c>
      <c r="G51" s="137">
        <v>0.06</v>
      </c>
      <c r="H51" s="135" t="s">
        <v>3065</v>
      </c>
    </row>
    <row r="52" spans="1:8">
      <c r="A52">
        <v>52</v>
      </c>
      <c r="E52" s="135" t="s">
        <v>3115</v>
      </c>
      <c r="F52">
        <v>5</v>
      </c>
      <c r="G52" s="137">
        <v>0.04</v>
      </c>
      <c r="H52" s="135" t="s">
        <v>3067</v>
      </c>
    </row>
    <row r="53" spans="1:8">
      <c r="A53">
        <v>53</v>
      </c>
      <c r="E53" s="135" t="s">
        <v>3116</v>
      </c>
      <c r="G53" s="137">
        <v>0.04</v>
      </c>
      <c r="H53" s="135" t="s">
        <v>3065</v>
      </c>
    </row>
    <row r="54" spans="1:8">
      <c r="A54">
        <v>54</v>
      </c>
      <c r="E54" t="s">
        <v>3117</v>
      </c>
      <c r="F54">
        <v>5</v>
      </c>
      <c r="G54" s="137">
        <v>3.3700000000000001E-2</v>
      </c>
      <c r="H54" t="s">
        <v>3065</v>
      </c>
    </row>
    <row r="55" spans="1:8">
      <c r="A55">
        <v>55</v>
      </c>
    </row>
    <row r="56" spans="1:8">
      <c r="A56">
        <v>56</v>
      </c>
    </row>
    <row r="57" spans="1:8">
      <c r="A57">
        <v>57</v>
      </c>
    </row>
    <row r="58" spans="1:8">
      <c r="A58">
        <v>58</v>
      </c>
    </row>
    <row r="59" spans="1:8">
      <c r="A59">
        <v>59</v>
      </c>
    </row>
    <row r="60" spans="1:8">
      <c r="A60">
        <v>60</v>
      </c>
    </row>
    <row r="61" spans="1:8">
      <c r="A61">
        <v>61</v>
      </c>
    </row>
    <row r="62" spans="1:8">
      <c r="A62">
        <v>62</v>
      </c>
    </row>
    <row r="63" spans="1:8">
      <c r="A63">
        <v>63</v>
      </c>
    </row>
    <row r="64" spans="1:8">
      <c r="A64">
        <v>64</v>
      </c>
    </row>
    <row r="65" spans="1:1">
      <c r="A65">
        <v>65</v>
      </c>
    </row>
    <row r="66" spans="1:1">
      <c r="A66">
        <v>66</v>
      </c>
    </row>
    <row r="67" spans="1:1">
      <c r="A67">
        <v>67</v>
      </c>
    </row>
    <row r="68" spans="1:1">
      <c r="A68">
        <v>68</v>
      </c>
    </row>
    <row r="69" spans="1:1">
      <c r="A69">
        <v>69</v>
      </c>
    </row>
    <row r="70" spans="1:1">
      <c r="A70">
        <v>70</v>
      </c>
    </row>
    <row r="71" spans="1:1">
      <c r="A71">
        <v>71</v>
      </c>
    </row>
    <row r="72" spans="1:1">
      <c r="A72">
        <v>72</v>
      </c>
    </row>
    <row r="73" spans="1:1">
      <c r="A73">
        <v>73</v>
      </c>
    </row>
    <row r="74" spans="1:1">
      <c r="A74">
        <v>74</v>
      </c>
    </row>
    <row r="75" spans="1:1">
      <c r="A75">
        <v>75</v>
      </c>
    </row>
    <row r="76" spans="1:1">
      <c r="A76">
        <v>76</v>
      </c>
    </row>
    <row r="77" spans="1:1">
      <c r="A77">
        <v>77</v>
      </c>
    </row>
    <row r="78" spans="1:1">
      <c r="A78">
        <v>78</v>
      </c>
    </row>
    <row r="79" spans="1:1">
      <c r="A79">
        <v>79</v>
      </c>
    </row>
    <row r="80" spans="1:1">
      <c r="A80">
        <v>80</v>
      </c>
    </row>
    <row r="81" spans="1:1">
      <c r="A81">
        <v>81</v>
      </c>
    </row>
    <row r="82" spans="1:1">
      <c r="A82">
        <v>82</v>
      </c>
    </row>
    <row r="83" spans="1:1">
      <c r="A83">
        <v>83</v>
      </c>
    </row>
    <row r="84" spans="1:1">
      <c r="A84">
        <v>84</v>
      </c>
    </row>
    <row r="85" spans="1:1">
      <c r="A85">
        <v>85</v>
      </c>
    </row>
    <row r="86" spans="1:1">
      <c r="A86">
        <v>86</v>
      </c>
    </row>
    <row r="87" spans="1:1">
      <c r="A87">
        <v>87</v>
      </c>
    </row>
    <row r="88" spans="1:1">
      <c r="A88">
        <v>88</v>
      </c>
    </row>
    <row r="89" spans="1:1">
      <c r="A89">
        <v>89</v>
      </c>
    </row>
    <row r="90" spans="1:1">
      <c r="A90">
        <v>90</v>
      </c>
    </row>
    <row r="91" spans="1:1">
      <c r="A91">
        <v>91</v>
      </c>
    </row>
    <row r="92" spans="1:1">
      <c r="A92">
        <v>92</v>
      </c>
    </row>
    <row r="93" spans="1:1">
      <c r="A93">
        <v>93</v>
      </c>
    </row>
    <row r="94" spans="1:1">
      <c r="A94">
        <v>94</v>
      </c>
    </row>
    <row r="95" spans="1:1">
      <c r="A95">
        <v>95</v>
      </c>
    </row>
    <row r="96" spans="1:1">
      <c r="A96">
        <v>96</v>
      </c>
    </row>
    <row r="97" spans="1:1">
      <c r="A97">
        <v>97</v>
      </c>
    </row>
    <row r="98" spans="1:1">
      <c r="A98">
        <v>98</v>
      </c>
    </row>
    <row r="99" spans="1:1">
      <c r="A99">
        <v>99</v>
      </c>
    </row>
  </sheetData>
  <sheetProtection selectLockedCells="1" selectUnlockedCells="1"/>
  <phoneticPr fontId="43"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3BA8A-74DD-4D05-BE1C-839C8238886A}">
  <sheetPr codeName="Sheet7"/>
  <dimension ref="A1:B19"/>
  <sheetViews>
    <sheetView workbookViewId="0">
      <selection activeCell="B19" sqref="B19"/>
    </sheetView>
  </sheetViews>
  <sheetFormatPr defaultRowHeight="15"/>
  <cols>
    <col min="1" max="1" width="27.85546875" bestFit="1" customWidth="1"/>
  </cols>
  <sheetData>
    <row r="1" spans="1:2">
      <c r="A1" s="157" t="s">
        <v>3196</v>
      </c>
      <c r="B1" t="s">
        <v>3197</v>
      </c>
    </row>
    <row r="2" spans="1:2">
      <c r="A2" s="158">
        <v>43583</v>
      </c>
      <c r="B2">
        <v>1</v>
      </c>
    </row>
    <row r="3" spans="1:2">
      <c r="A3" s="158">
        <v>43584</v>
      </c>
      <c r="B3">
        <v>3</v>
      </c>
    </row>
    <row r="4" spans="1:2">
      <c r="A4" s="158">
        <v>43587</v>
      </c>
      <c r="B4">
        <v>4</v>
      </c>
    </row>
    <row r="5" spans="1:2">
      <c r="A5" s="158">
        <v>43589</v>
      </c>
      <c r="B5">
        <v>4</v>
      </c>
    </row>
    <row r="6" spans="1:2">
      <c r="A6" s="158">
        <v>43590</v>
      </c>
      <c r="B6">
        <v>4</v>
      </c>
    </row>
    <row r="7" spans="1:2">
      <c r="A7" s="158">
        <v>43591</v>
      </c>
      <c r="B7">
        <v>2</v>
      </c>
    </row>
    <row r="8" spans="1:2">
      <c r="A8" s="158">
        <v>43592</v>
      </c>
      <c r="B8">
        <v>3</v>
      </c>
    </row>
    <row r="9" spans="1:2">
      <c r="A9" s="158">
        <v>43593</v>
      </c>
      <c r="B9">
        <v>2</v>
      </c>
    </row>
    <row r="10" spans="1:2">
      <c r="A10" s="158">
        <v>43594</v>
      </c>
      <c r="B10">
        <v>1</v>
      </c>
    </row>
    <row r="11" spans="1:2">
      <c r="A11" s="158">
        <v>43595</v>
      </c>
      <c r="B11">
        <v>2</v>
      </c>
    </row>
    <row r="12" spans="1:2">
      <c r="A12" s="158">
        <v>43631</v>
      </c>
      <c r="B12">
        <v>2</v>
      </c>
    </row>
    <row r="13" spans="1:2">
      <c r="A13" s="158">
        <v>43654</v>
      </c>
      <c r="B13">
        <v>2</v>
      </c>
    </row>
    <row r="14" spans="1:2">
      <c r="A14" s="158">
        <v>43655</v>
      </c>
      <c r="B14">
        <v>2</v>
      </c>
    </row>
    <row r="15" spans="1:2">
      <c r="A15" s="158">
        <v>43734</v>
      </c>
      <c r="B15">
        <v>2</v>
      </c>
    </row>
    <row r="16" spans="1:2">
      <c r="A16" s="158">
        <v>43792</v>
      </c>
      <c r="B16">
        <v>2</v>
      </c>
    </row>
    <row r="17" spans="1:2">
      <c r="A17" s="158">
        <v>43818</v>
      </c>
      <c r="B17">
        <v>3</v>
      </c>
    </row>
    <row r="18" spans="1:2">
      <c r="A18" s="158">
        <v>43921</v>
      </c>
      <c r="B18">
        <v>3</v>
      </c>
    </row>
    <row r="19" spans="1:2">
      <c r="A19" t="s">
        <v>3024</v>
      </c>
      <c r="B19">
        <f>SUBTOTAL(109,Table8[Hours])</f>
        <v>42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RC Checklist</vt:lpstr>
      <vt:lpstr>Generated Quote</vt:lpstr>
      <vt:lpstr>Breakdown Report</vt:lpstr>
      <vt:lpstr>Fixed Cost Items</vt:lpstr>
      <vt:lpstr>Driving Code</vt:lpstr>
      <vt:lpstr>Client Info</vt:lpstr>
      <vt:lpstr>Drop Down Selection</vt:lpstr>
      <vt:lpstr>Time</vt:lpstr>
      <vt:lpstr>'Generated Quote'!Print_Area</vt:lpstr>
      <vt:lpstr>'RC Checklist'!Print_Area</vt:lpstr>
      <vt:lpstr>'RC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DBeck@visualsound.com</dc:creator>
  <cp:lastModifiedBy>Dan Beck</cp:lastModifiedBy>
  <cp:lastPrinted>2019-07-09T19:14:54Z</cp:lastPrinted>
  <dcterms:created xsi:type="dcterms:W3CDTF">2013-02-19T16:15:07Z</dcterms:created>
  <dcterms:modified xsi:type="dcterms:W3CDTF">2020-03-31T18:44:20Z</dcterms:modified>
</cp:coreProperties>
</file>